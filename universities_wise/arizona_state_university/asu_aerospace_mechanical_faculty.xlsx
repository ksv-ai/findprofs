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ield Matched" sheetId="1" state="visible" r:id="rId1"/>
    <sheet xmlns:r="http://schemas.openxmlformats.org/officeDocument/2006/relationships" name="All Faculty"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1"/>
    </font>
    <font>
      <name val="Calibri"/>
      <color rgb="000563C1"/>
      <sz val="11"/>
      <u val="single"/>
    </font>
  </fonts>
  <fills count="3">
    <fill>
      <patternFill/>
    </fill>
    <fill>
      <patternFill patternType="gray125"/>
    </fill>
    <fill>
      <patternFill patternType="solid">
        <fgColor rgb="001F497D"/>
        <bgColor rgb="001F49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center"/>
    </xf>
    <xf numFmtId="0"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mailto:houssem.kasbaoui@asu.edu" TargetMode="External" Id="rId1"/><Relationship Type="http://schemas.openxmlformats.org/officeDocument/2006/relationships/hyperlink" Target="https://kasbaoui.bitbucket.io" TargetMode="External" Id="rId2"/><Relationship Type="http://schemas.openxmlformats.org/officeDocument/2006/relationships/hyperlink" Target="https://scholar.google.com/citations?view_op=search_authors&amp;mauthors=Mohamed%20Houssem%20Kasbaoui%20Arizona%20State%20University" TargetMode="External" Id="rId3"/><Relationship Type="http://schemas.openxmlformats.org/officeDocument/2006/relationships/hyperlink" Target="https://search.asu.edu/profile/mkasbaou" TargetMode="External" Id="rId4"/><Relationship Type="http://schemas.openxmlformats.org/officeDocument/2006/relationships/hyperlink" Target="https://faculty.engineering.asu.edu/directory/semte/aerospace-and-mechanical-engineering/" TargetMode="External" Id="rId5"/><Relationship Type="http://schemas.openxmlformats.org/officeDocument/2006/relationships/hyperlink" Target="mailto:Liping.Wang@asu.edu" TargetMode="External" Id="rId6"/><Relationship Type="http://schemas.openxmlformats.org/officeDocument/2006/relationships/hyperlink" Target="http://faculty.engineering.asu.edu/lpwang"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https://search.asu.edu/profile/lwang78"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mailto:joswald1@asu.edu" TargetMode="External" Id="rId11"/><Relationship Type="http://schemas.openxmlformats.org/officeDocument/2006/relationships/hyperlink" Target="http://sparky.fulton.asu.edu/oswald/"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https://search.asu.edu/profile/joswald1" TargetMode="External" Id="rId14"/><Relationship Type="http://schemas.openxmlformats.org/officeDocument/2006/relationships/hyperlink" Target="https://faculty.engineering.asu.edu/directory/semte/aerospace-and-mechanical-engineering/" TargetMode="External" Id="rId15"/><Relationship Type="http://schemas.openxmlformats.org/officeDocument/2006/relationships/hyperlink" Target="mailto:Jiefeng.Sun@asu.edu" TargetMode="External" Id="rId16"/><Relationship Type="http://schemas.openxmlformats.org/officeDocument/2006/relationships/hyperlink" Target="https://sunroboticslab.github.io"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https://search.asu.edu/profile/jsun165"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k.p.chen@asu.edu" TargetMode="External" Id="rId21"/><Relationship Type="http://schemas.openxmlformats.org/officeDocument/2006/relationships/hyperlink" Target="https://scholar.google.com/citations?hl=en&amp;user=xT-lX9sAAAAJ" TargetMode="External" Id="rId22"/><Relationship Type="http://schemas.openxmlformats.org/officeDocument/2006/relationships/hyperlink" Target="https://search.asu.edu/profile/asuchen"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Kiran.Ramesh@asu.edu" TargetMode="External" Id="rId25"/><Relationship Type="http://schemas.openxmlformats.org/officeDocument/2006/relationships/hyperlink" Target="https://scholar.google.com/citations?hl=en&amp;user=DKc-AgcAAAAJ" TargetMode="External" Id="rId26"/><Relationship Type="http://schemas.openxmlformats.org/officeDocument/2006/relationships/hyperlink" Target="https://search.asu.edu/profile/kramesh2"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kgarg24@asu.edu" TargetMode="External" Id="rId29"/><Relationship Type="http://schemas.openxmlformats.org/officeDocument/2006/relationships/hyperlink" Target="https://sites.google.com/asu.edu/kunalgarg/"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https://search.asu.edu/profile/kgarg24" TargetMode="External" Id="rId32"/><Relationship Type="http://schemas.openxmlformats.org/officeDocument/2006/relationships/hyperlink" Target="https://faculty.engineering.asu.edu/directory/semte/aerospace-and-mechanical-engineering/" TargetMode="External" Id="rId33"/><Relationship Type="http://schemas.openxmlformats.org/officeDocument/2006/relationships/hyperlink" Target="mailto:Leixin.Ma@asu.edu" TargetMode="External" Id="rId34"/><Relationship Type="http://schemas.openxmlformats.org/officeDocument/2006/relationships/hyperlink" Target="https://sites.google.com/view/oasislabasu"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https://search.asu.edu/profile/leixinma" TargetMode="External" Id="rId37"/><Relationship Type="http://schemas.openxmlformats.org/officeDocument/2006/relationships/hyperlink" Target="https://faculty.engineering.asu.edu/directory/semte/aerospace-and-mechanical-engineering/" TargetMode="External" Id="rId38"/><Relationship Type="http://schemas.openxmlformats.org/officeDocument/2006/relationships/hyperlink" Target="mailto:Gokul.Pathikonda@asu.edu" TargetMode="External" Id="rId39"/><Relationship Type="http://schemas.openxmlformats.org/officeDocument/2006/relationships/hyperlink" Target="https://faculty.engineering.asu.edu/cmat/"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https://search.asu.edu/profile/gpathiko" TargetMode="External" Id="rId42"/><Relationship Type="http://schemas.openxmlformats.org/officeDocument/2006/relationships/hyperlink" Target="https://faculty.engineering.asu.edu/directory/semte/aerospace-and-mechanical-engineering/" TargetMode="External" Id="rId43"/><Relationship Type="http://schemas.openxmlformats.org/officeDocument/2006/relationships/hyperlink" Target="mailto:Marcus.Herrmann@asu.edu" TargetMode="External" Id="rId44"/><Relationship Type="http://schemas.openxmlformats.org/officeDocument/2006/relationships/hyperlink" Target="https://scholar.google.com/citations?hl=en&amp;user=yv6aCW8AAAAJ" TargetMode="External" Id="rId45"/><Relationship Type="http://schemas.openxmlformats.org/officeDocument/2006/relationships/hyperlink" Target="https://search.asu.edu/profile/mherrma1" TargetMode="External" Id="rId46"/><Relationship Type="http://schemas.openxmlformats.org/officeDocument/2006/relationships/hyperlink" Target="https://faculty.engineering.asu.edu/directory/semte/aerospace-and-mechanical-engineering/" TargetMode="External" Id="rId47"/><Relationship Type="http://schemas.openxmlformats.org/officeDocument/2006/relationships/hyperlink" Target="mailto:Spring.Berman@asu.edu" TargetMode="External" Id="rId48"/><Relationship Type="http://schemas.openxmlformats.org/officeDocument/2006/relationships/hyperlink" Target="http://faculty.engineering.asu.edu/acs/"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https://search.asu.edu/profile/smberma2"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xzhe1@asu.edu" TargetMode="External" Id="rId53"/><Relationship Type="http://schemas.openxmlformats.org/officeDocument/2006/relationships/hyperlink" Target="https://sites.google.com/site/zhexudavid00710/research?authuser=0"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https://search.asu.edu/profile/xzhe1" TargetMode="External" Id="rId56"/><Relationship Type="http://schemas.openxmlformats.org/officeDocument/2006/relationships/hyperlink" Target="https://faculty.engineering.asu.edu/directory/semte/aerospace-and-mechanical-engineering/" TargetMode="External" Id="rId57"/><Relationship Type="http://schemas.openxmlformats.org/officeDocument/2006/relationships/hyperlink" Target="mailto:jeokim@asu.edu" TargetMode="External" Id="rId58"/><Relationship Type="http://schemas.openxmlformats.org/officeDocument/2006/relationships/hyperlink" Target="https://scholar.google.com/citations?view_op=search_authors&amp;mauthors=Jeonglae%20Kim%20Arizona%20State%20University" TargetMode="External" Id="rId59"/><Relationship Type="http://schemas.openxmlformats.org/officeDocument/2006/relationships/hyperlink" Target="https://search.asu.edu/profile/jkim520"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mailto:mpeet@asu.edu" TargetMode="External" Id="rId62"/><Relationship Type="http://schemas.openxmlformats.org/officeDocument/2006/relationships/hyperlink" Target="http://control.asu.edu/" TargetMode="External" Id="rId63"/><Relationship Type="http://schemas.openxmlformats.org/officeDocument/2006/relationships/hyperlink" Target="https://scholar.google.com/citations?view_op=search_authors&amp;mauthors=Matthew%20Peet%20Arizona%20State%20University" TargetMode="External" Id="rId64"/><Relationship Type="http://schemas.openxmlformats.org/officeDocument/2006/relationships/hyperlink" Target="https://search.asu.edu/profile/mpeet" TargetMode="External" Id="rId65"/><Relationship Type="http://schemas.openxmlformats.org/officeDocument/2006/relationships/hyperlink" Target="https://faculty.engineering.asu.edu/directory/semte/aerospace-and-mechanical-engineering/" TargetMode="External" Id="rId66"/><Relationship Type="http://schemas.openxmlformats.org/officeDocument/2006/relationships/hyperlink" Target="mailto:rywang@asu.edu" TargetMode="External" Id="rId67"/><Relationship Type="http://schemas.openxmlformats.org/officeDocument/2006/relationships/hyperlink" Target="http://wang.faculty.asu.edu/"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https://search.asu.edu/profile/rywang" TargetMode="External" Id="rId70"/><Relationship Type="http://schemas.openxmlformats.org/officeDocument/2006/relationships/hyperlink" Target="https://faculty.engineering.asu.edu/directory/semte/aerospace-and-mechanical-engineering/" TargetMode="External" Id="rId71"/><Relationship Type="http://schemas.openxmlformats.org/officeDocument/2006/relationships/hyperlink" Target="mailto:Ryan.Milcarek@asu.edu" TargetMode="External" Id="rId72"/><Relationship Type="http://schemas.openxmlformats.org/officeDocument/2006/relationships/hyperlink" Target="http://RESEARCHGATE.net/profile/Ryan_Milcarek"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https://search.asu.edu/profile/rjmilcar"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ATTWL@asu.edu" TargetMode="External" Id="rId77"/><Relationship Type="http://schemas.openxmlformats.org/officeDocument/2006/relationships/hyperlink" Target="https://scholar.google.com/citations?view_op=search_authors&amp;mauthors=T.-W.%20Lee%20Arizona%20State%20University" TargetMode="External" Id="rId78"/><Relationship Type="http://schemas.openxmlformats.org/officeDocument/2006/relationships/hyperlink" Target="https://search.asu.edu/profile/attwl"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Tianyu.Yang@asu.edu" TargetMode="External" Id="rId81"/><Relationship Type="http://schemas.openxmlformats.org/officeDocument/2006/relationships/hyperlink" Target="https://scholar.google.com/citations?hl=en&amp;user=OmBV67MAAAAJ" TargetMode="External" Id="rId82"/><Relationship Type="http://schemas.openxmlformats.org/officeDocument/2006/relationships/hyperlink" Target="https://search.asu.edu/profile/tyang123"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aditi@asu.edu" TargetMode="External" Id="rId85"/><Relationship Type="http://schemas.openxmlformats.org/officeDocument/2006/relationships/hyperlink" Target="https://scholar.google.com/citations?hl=en&amp;user=w3fU9E0AAAAJ" TargetMode="External" Id="rId86"/><Relationship Type="http://schemas.openxmlformats.org/officeDocument/2006/relationships/hyperlink" Target="https://search.asu.edu/profile/chattopa"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Alberto.Scotti@asu.edu" TargetMode="External" Id="rId89"/><Relationship Type="http://schemas.openxmlformats.org/officeDocument/2006/relationships/hyperlink" Target="https://scholar.google.com/citations?hl=en&amp;user=HRx2lJQAAAAJ" TargetMode="External" Id="rId90"/><Relationship Type="http://schemas.openxmlformats.org/officeDocument/2006/relationships/hyperlink" Target="https://search.asu.edu/profile/adscotti"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kwon@asu.edu" TargetMode="External" Id="rId93"/><Relationship Type="http://schemas.openxmlformats.org/officeDocument/2006/relationships/hyperlink" Target="http://sites.google.com/view/3denergy"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https://search.asu.edu/profile/bkwon2"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mailto:hmarvi@asu.edu" TargetMode="External" Id="rId98"/><Relationship Type="http://schemas.openxmlformats.org/officeDocument/2006/relationships/hyperlink" Target="http://birth.asu.edu"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https://search.asu.edu/profile/hmarvi"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mailto:Hyunglae.Lee@asu.edu" TargetMode="External" Id="rId103"/><Relationship Type="http://schemas.openxmlformats.org/officeDocument/2006/relationships/hyperlink" Target="https://faculty.engineering.asu.edu/hlee"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https://search.asu.edu/profile/hlee234"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mailto:ladani@asu.edu" TargetMode="External" Id="rId108"/><Relationship Type="http://schemas.openxmlformats.org/officeDocument/2006/relationships/hyperlink" Target="https://magic.asu.edu/"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https://search.asu.edu/profile/ljannesa"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phelan@asu.edu" TargetMode="External" Id="rId113"/><Relationship Type="http://schemas.openxmlformats.org/officeDocument/2006/relationships/hyperlink" Target="https://scholar.google.com/citations?view_op=search_authors&amp;mauthors=Patrick%20Phelan%20Arizona%20State%20University" TargetMode="External" Id="rId114"/><Relationship Type="http://schemas.openxmlformats.org/officeDocument/2006/relationships/hyperlink" Target="https://search.asu.edu/profile/pphelan"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peet@asu.edu" TargetMode="External" Id="rId117"/><Relationship Type="http://schemas.openxmlformats.org/officeDocument/2006/relationships/hyperlink" Target="https://isim.asu.edu"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https://search.asu.edu/profile/ypeet" TargetMode="External" Id="rId120"/><Relationship Type="http://schemas.openxmlformats.org/officeDocument/2006/relationships/hyperlink" Target="https://faculty.engineering.asu.edu/directory/semte/aerospace-and-mechanical-engineering/" TargetMode="External" Id="rId121"/><Relationship Type="http://schemas.openxmlformats.org/officeDocument/2006/relationships/hyperlink" Target="mailto:zhuanghl@asu.edu" TargetMode="External" Id="rId122"/><Relationship Type="http://schemas.openxmlformats.org/officeDocument/2006/relationships/hyperlink" Target="https://scholar.google.com/citations?hl=en&amp;user=4yYKCpUAAAAJ" TargetMode="External" Id="rId123"/><Relationship Type="http://schemas.openxmlformats.org/officeDocument/2006/relationships/hyperlink" Target="https://search.asu.edu/profile/hzhuang7" TargetMode="External" Id="rId124"/><Relationship Type="http://schemas.openxmlformats.org/officeDocument/2006/relationships/hyperlink" Target="https://faculty.engineering.asu.edu/directory/semte/aerospace-and-mechanical-engineering/" TargetMode="External" Id="rId125"/><Relationship Type="http://schemas.openxmlformats.org/officeDocument/2006/relationships/hyperlink" Target="mailto:Huei-Ping.Huang@asu.edu" TargetMode="External" Id="rId126"/><Relationship Type="http://schemas.openxmlformats.org/officeDocument/2006/relationships/hyperlink" Target="http://www.public.asu.edu/~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https://search.asu.edu/profile/hhuang38" TargetMode="External" Id="rId129"/><Relationship Type="http://schemas.openxmlformats.org/officeDocument/2006/relationships/hyperlink" Target="https://faculty.engineering.asu.edu/directory/semte/aerospace-and-mechanical-engineering/" TargetMode="External" Id="rId130"/><Relationship Type="http://schemas.openxmlformats.org/officeDocument/2006/relationships/hyperlink" Target="mailto:Jagannathan.Rajagopalan@asu.edu" TargetMode="External" Id="rId131"/><Relationship Type="http://schemas.openxmlformats.org/officeDocument/2006/relationships/hyperlink" Target="http://faculty.engineering.asu.edu/jagan/"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https://search.asu.edu/profile/jrajago1" TargetMode="External" Id="rId134"/><Relationship Type="http://schemas.openxmlformats.org/officeDocument/2006/relationships/hyperlink" Target="https://faculty.engineering.asu.edu/directory/semte/aerospace-and-mechanical-engineering/" TargetMode="External" Id="rId135"/><Relationship Type="http://schemas.openxmlformats.org/officeDocument/2006/relationships/hyperlink" Target="mailto:konradr@asu.edu" TargetMode="External" Id="rId136"/><Relationship Type="http://schemas.openxmlformats.org/officeDocument/2006/relationships/hyperlink" Target="http://faculty.engineering.asu.edu/konrad/"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https://search.asu.edu/profile/krykacze"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mailto:minglei.qu@asu.edu" TargetMode="External" Id="rId141"/><Relationship Type="http://schemas.openxmlformats.org/officeDocument/2006/relationships/hyperlink" Target="https://scholar.google.com/citations?hl=en&amp;user=9LWNC50AAAAJ" TargetMode="External" Id="rId142"/><Relationship Type="http://schemas.openxmlformats.org/officeDocument/2006/relationships/hyperlink" Target="https://search.asu.edu/profile/mingleiq" TargetMode="External" Id="rId143"/><Relationship Type="http://schemas.openxmlformats.org/officeDocument/2006/relationships/hyperlink" Target="https://faculty.engineering.asu.edu/directory/semte/aerospace-and-mechanical-engineering/" TargetMode="External" Id="rId144"/><Relationship Type="http://schemas.openxmlformats.org/officeDocument/2006/relationships/hyperlink" Target="mailto:Qiong.Nian@asu.edu" TargetMode="External" Id="rId145"/><Relationship Type="http://schemas.openxmlformats.org/officeDocument/2006/relationships/hyperlink" Target="https://mmmplab.engineering.asu.edu/"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https://search.asu.edu/profile/qnian" TargetMode="External" Id="rId148"/><Relationship Type="http://schemas.openxmlformats.org/officeDocument/2006/relationships/hyperlink" Target="https://faculty.engineering.asu.edu/directory/semte/aerospace-and-mechanical-engineering/" TargetMode="External" Id="rId149"/><Relationship Type="http://schemas.openxmlformats.org/officeDocument/2006/relationships/hyperlink" Target="mailto:Ronald.Calhoun@asu.edu" TargetMode="External" Id="rId150"/><Relationship Type="http://schemas.openxmlformats.org/officeDocument/2006/relationships/hyperlink" Target="https://windlab.engineering.asu.edu/ronald-calhoun/"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https://search.asu.edu/profile/rcalhou" TargetMode="External" Id="rId153"/><Relationship Type="http://schemas.openxmlformats.org/officeDocument/2006/relationships/hyperlink" Target="https://faculty.engineering.asu.edu/directory/semte/aerospace-and-mechanical-engineering/" TargetMode="External" Id="rId154"/><Relationship Type="http://schemas.openxmlformats.org/officeDocument/2006/relationships/hyperlink" Target="mailto:wjin@asu.edu" TargetMode="External" Id="rId155"/><Relationship Type="http://schemas.openxmlformats.org/officeDocument/2006/relationships/hyperlink" Target="https://irislab.tech/"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https://search.asu.edu/profile/wjin34" TargetMode="External" Id="rId158"/><Relationship Type="http://schemas.openxmlformats.org/officeDocument/2006/relationships/hyperlink" Target="https://faculty.engineering.asu.edu/directory/semte/aerospace-and-mechanical-engineering/" TargetMode="External" Id="rId159"/><Relationship Type="http://schemas.openxmlformats.org/officeDocument/2006/relationships/hyperlink" Target="mailto:Yongming.Liu@asu.edu" TargetMode="External" Id="rId160"/><Relationship Type="http://schemas.openxmlformats.org/officeDocument/2006/relationships/hyperlink" Target="https://scholar.google.com/citations?view_op=search_authors&amp;mauthors=Yongming%20Liu%20Arizona%20State%20University" TargetMode="External" Id="rId161"/><Relationship Type="http://schemas.openxmlformats.org/officeDocument/2006/relationships/hyperlink" Target="https://search.asu.edu/profile/yliu35"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mailto:xiangjia.li@asu.edu" TargetMode="External" Id="rId164"/><Relationship Type="http://schemas.openxmlformats.org/officeDocument/2006/relationships/hyperlink" Target="https://www.cindyxjli.com/" TargetMode="External" Id="rId165"/><Relationship Type="http://schemas.openxmlformats.org/officeDocument/2006/relationships/hyperlink" Target="https://scholar.google.com/citations?hl=en&amp;user=tGQzHJIAAAAJ" TargetMode="External" Id="rId166"/><Relationship Type="http://schemas.openxmlformats.org/officeDocument/2006/relationships/hyperlink" Target="https://search.asu.edu/profile/xiangji5"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mailto:jimbo@asu.edu" TargetMode="External" Id="rId169"/><Relationship Type="http://schemas.openxmlformats.org/officeDocument/2006/relationships/hyperlink" Target="https://scholar.google.com/citations?view_op=search_authors&amp;mauthors=James%20Middleton%20Arizona%20State%20University" TargetMode="External" Id="rId170"/><Relationship Type="http://schemas.openxmlformats.org/officeDocument/2006/relationships/hyperlink" Target="https://search.asu.edu/profile/jimbo" TargetMode="External" Id="rId171"/><Relationship Type="http://schemas.openxmlformats.org/officeDocument/2006/relationships/hyperlink" Target="https://faculty.engineering.asu.edu/directory/semte/aerospace-and-mechanical-engineering/" TargetMode="External" Id="rId172"/><Relationship Type="http://schemas.openxmlformats.org/officeDocument/2006/relationships/hyperlink" Target="mailto:Lin.Li.10@asu.edu" TargetMode="External" Id="rId173"/><Relationship Type="http://schemas.openxmlformats.org/officeDocument/2006/relationships/hyperlink" Target="https://scholar.google.com/citations?view_op=search_authors&amp;mauthors=Lin%20Li%20Arizona%20State%20University" TargetMode="External" Id="rId174"/><Relationship Type="http://schemas.openxmlformats.org/officeDocument/2006/relationships/hyperlink" Target="https://search.asu.edu/profile/linli25" TargetMode="External" Id="rId175"/><Relationship Type="http://schemas.openxmlformats.org/officeDocument/2006/relationships/hyperlink" Target="https://faculty.engineering.asu.edu/directory/semte/aerospace-and-mechanical-engineering/" TargetMode="External" Id="rId176"/><Relationship Type="http://schemas.openxmlformats.org/officeDocument/2006/relationships/hyperlink" Target="mailto:marc.mignolet@asu.edu" TargetMode="External" Id="rId177"/><Relationship Type="http://schemas.openxmlformats.org/officeDocument/2006/relationships/hyperlink" Target="https://scholar.google.com/citations?view_op=search_authors&amp;mauthors=Marc%20Mignolet%20Arizona%20State%20University" TargetMode="External" Id="rId178"/><Relationship Type="http://schemas.openxmlformats.org/officeDocument/2006/relationships/hyperlink" Target="https://search.asu.edu/profile/marc03"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mailto:pperalta@asu.edu" TargetMode="External" Id="rId181"/><Relationship Type="http://schemas.openxmlformats.org/officeDocument/2006/relationships/hyperlink" Target="https://faculty.engineering.asu.edu/pperalta/" TargetMode="External" Id="rId182"/><Relationship Type="http://schemas.openxmlformats.org/officeDocument/2006/relationships/hyperlink" Target="https://scholar.google.com/citations?view_op=search_authors&amp;mauthors=Pedro%20Peralta%20Arizona%20State%20University" TargetMode="External" Id="rId183"/><Relationship Type="http://schemas.openxmlformats.org/officeDocument/2006/relationships/hyperlink" Target="https://search.asu.edu/profile/pperalta"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mailto:Wonmo.Kang@asu.edu" TargetMode="External" Id="rId186"/><Relationship Type="http://schemas.openxmlformats.org/officeDocument/2006/relationships/hyperlink" Target="https://wonmokang3.wixsite.com/website" TargetMode="External" Id="rId187"/><Relationship Type="http://schemas.openxmlformats.org/officeDocument/2006/relationships/hyperlink" Target="https://scholar.google.com/citations?hl=en&amp;user=bHyyOTAAAAAJ" TargetMode="External" Id="rId188"/><Relationship Type="http://schemas.openxmlformats.org/officeDocument/2006/relationships/hyperlink" Target="https://search.asu.edu/profile/wkang16"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mailto:yiren@asu.edu" TargetMode="External" Id="rId191"/><Relationship Type="http://schemas.openxmlformats.org/officeDocument/2006/relationships/hyperlink" Target="https://scholar.google.com/citations?view_op=search_authors&amp;mauthors=Yi%20Ren%20Arizona%20State%20University" TargetMode="External" Id="rId192"/><Relationship Type="http://schemas.openxmlformats.org/officeDocument/2006/relationships/hyperlink" Target="https://search.asu.edu/profile/yren32" TargetMode="External" Id="rId193"/><Relationship Type="http://schemas.openxmlformats.org/officeDocument/2006/relationships/hyperlink" Target="https://faculty.engineering.asu.edu/directory/semte/aerospace-and-mechanical-engineering/" TargetMode="External" Id="rId194"/></Relationships>
</file>

<file path=xl/worksheets/_rels/sheet2.xml.rels><Relationships xmlns="http://schemas.openxmlformats.org/package/2006/relationships"><Relationship Type="http://schemas.openxmlformats.org/officeDocument/2006/relationships/hyperlink" Target="mailto:houssem.kasbaoui@asu.edu" TargetMode="External" Id="rId1"/><Relationship Type="http://schemas.openxmlformats.org/officeDocument/2006/relationships/hyperlink" Target="https://kasbaoui.bitbucket.io" TargetMode="External" Id="rId2"/><Relationship Type="http://schemas.openxmlformats.org/officeDocument/2006/relationships/hyperlink" Target="https://scholar.google.com/citations?view_op=search_authors&amp;mauthors=Mohamed%20Houssem%20Kasbaoui%20Arizona%20State%20University" TargetMode="External" Id="rId3"/><Relationship Type="http://schemas.openxmlformats.org/officeDocument/2006/relationships/hyperlink" Target="https://search.asu.edu/profile/mkasbaou" TargetMode="External" Id="rId4"/><Relationship Type="http://schemas.openxmlformats.org/officeDocument/2006/relationships/hyperlink" Target="https://faculty.engineering.asu.edu/directory/semte/aerospace-and-mechanical-engineering/" TargetMode="External" Id="rId5"/><Relationship Type="http://schemas.openxmlformats.org/officeDocument/2006/relationships/hyperlink" Target="mailto:Liping.Wang@asu.edu" TargetMode="External" Id="rId6"/><Relationship Type="http://schemas.openxmlformats.org/officeDocument/2006/relationships/hyperlink" Target="http://faculty.engineering.asu.edu/lpwang" TargetMode="External" Id="rId7"/><Relationship Type="http://schemas.openxmlformats.org/officeDocument/2006/relationships/hyperlink" Target="https://scholar.google.com/citations?view_op=search_authors&amp;mauthors=Liping%20Wang%20Arizona%20State%20University" TargetMode="External" Id="rId8"/><Relationship Type="http://schemas.openxmlformats.org/officeDocument/2006/relationships/hyperlink" Target="https://search.asu.edu/profile/lwang78" TargetMode="External" Id="rId9"/><Relationship Type="http://schemas.openxmlformats.org/officeDocument/2006/relationships/hyperlink" Target="https://faculty.engineering.asu.edu/directory/semte/aerospace-and-mechanical-engineering/" TargetMode="External" Id="rId10"/><Relationship Type="http://schemas.openxmlformats.org/officeDocument/2006/relationships/hyperlink" Target="mailto:joswald1@asu.edu" TargetMode="External" Id="rId11"/><Relationship Type="http://schemas.openxmlformats.org/officeDocument/2006/relationships/hyperlink" Target="http://sparky.fulton.asu.edu/oswald/" TargetMode="External" Id="rId12"/><Relationship Type="http://schemas.openxmlformats.org/officeDocument/2006/relationships/hyperlink" Target="https://scholar.google.com/citations?view_op=search_authors&amp;mauthors=Jay%20Oswald%20Arizona%20State%20University" TargetMode="External" Id="rId13"/><Relationship Type="http://schemas.openxmlformats.org/officeDocument/2006/relationships/hyperlink" Target="https://search.asu.edu/profile/joswald1" TargetMode="External" Id="rId14"/><Relationship Type="http://schemas.openxmlformats.org/officeDocument/2006/relationships/hyperlink" Target="https://faculty.engineering.asu.edu/directory/semte/aerospace-and-mechanical-engineering/" TargetMode="External" Id="rId15"/><Relationship Type="http://schemas.openxmlformats.org/officeDocument/2006/relationships/hyperlink" Target="mailto:Jiefeng.Sun@asu.edu" TargetMode="External" Id="rId16"/><Relationship Type="http://schemas.openxmlformats.org/officeDocument/2006/relationships/hyperlink" Target="https://sunroboticslab.github.io" TargetMode="External" Id="rId17"/><Relationship Type="http://schemas.openxmlformats.org/officeDocument/2006/relationships/hyperlink" Target="https://scholar.google.com/citations?hl=en&amp;user=fjUoHOsAAAAJ" TargetMode="External" Id="rId18"/><Relationship Type="http://schemas.openxmlformats.org/officeDocument/2006/relationships/hyperlink" Target="https://search.asu.edu/profile/jsun165" TargetMode="External" Id="rId19"/><Relationship Type="http://schemas.openxmlformats.org/officeDocument/2006/relationships/hyperlink" Target="https://faculty.engineering.asu.edu/directory/semte/aerospace-and-mechanical-engineering/" TargetMode="External" Id="rId20"/><Relationship Type="http://schemas.openxmlformats.org/officeDocument/2006/relationships/hyperlink" Target="mailto:k.p.chen@asu.edu" TargetMode="External" Id="rId21"/><Relationship Type="http://schemas.openxmlformats.org/officeDocument/2006/relationships/hyperlink" Target="https://scholar.google.com/citations?hl=en&amp;user=xT-lX9sAAAAJ" TargetMode="External" Id="rId22"/><Relationship Type="http://schemas.openxmlformats.org/officeDocument/2006/relationships/hyperlink" Target="https://search.asu.edu/profile/asuchen" TargetMode="External" Id="rId23"/><Relationship Type="http://schemas.openxmlformats.org/officeDocument/2006/relationships/hyperlink" Target="https://faculty.engineering.asu.edu/directory/semte/aerospace-and-mechanical-engineering/" TargetMode="External" Id="rId24"/><Relationship Type="http://schemas.openxmlformats.org/officeDocument/2006/relationships/hyperlink" Target="mailto:Kiran.Ramesh@asu.edu" TargetMode="External" Id="rId25"/><Relationship Type="http://schemas.openxmlformats.org/officeDocument/2006/relationships/hyperlink" Target="https://scholar.google.com/citations?hl=en&amp;user=DKc-AgcAAAAJ" TargetMode="External" Id="rId26"/><Relationship Type="http://schemas.openxmlformats.org/officeDocument/2006/relationships/hyperlink" Target="https://search.asu.edu/profile/kramesh2" TargetMode="External" Id="rId27"/><Relationship Type="http://schemas.openxmlformats.org/officeDocument/2006/relationships/hyperlink" Target="https://faculty.engineering.asu.edu/directory/semte/aerospace-and-mechanical-engineering/" TargetMode="External" Id="rId28"/><Relationship Type="http://schemas.openxmlformats.org/officeDocument/2006/relationships/hyperlink" Target="mailto:kgarg24@asu.edu" TargetMode="External" Id="rId29"/><Relationship Type="http://schemas.openxmlformats.org/officeDocument/2006/relationships/hyperlink" Target="https://sites.google.com/asu.edu/kunalgarg/" TargetMode="External" Id="rId30"/><Relationship Type="http://schemas.openxmlformats.org/officeDocument/2006/relationships/hyperlink" Target="https://scholar.google.com/citations?hl=en&amp;user=vs3pl-8AAAAJ" TargetMode="External" Id="rId31"/><Relationship Type="http://schemas.openxmlformats.org/officeDocument/2006/relationships/hyperlink" Target="https://search.asu.edu/profile/kgarg24" TargetMode="External" Id="rId32"/><Relationship Type="http://schemas.openxmlformats.org/officeDocument/2006/relationships/hyperlink" Target="https://faculty.engineering.asu.edu/directory/semte/aerospace-and-mechanical-engineering/" TargetMode="External" Id="rId33"/><Relationship Type="http://schemas.openxmlformats.org/officeDocument/2006/relationships/hyperlink" Target="mailto:Leixin.Ma@asu.edu" TargetMode="External" Id="rId34"/><Relationship Type="http://schemas.openxmlformats.org/officeDocument/2006/relationships/hyperlink" Target="https://sites.google.com/view/oasislabasu" TargetMode="External" Id="rId35"/><Relationship Type="http://schemas.openxmlformats.org/officeDocument/2006/relationships/hyperlink" Target="https://scholar.google.com/citations?hl=en&amp;user=2xQTOc0AAAAJ" TargetMode="External" Id="rId36"/><Relationship Type="http://schemas.openxmlformats.org/officeDocument/2006/relationships/hyperlink" Target="https://search.asu.edu/profile/leixinma" TargetMode="External" Id="rId37"/><Relationship Type="http://schemas.openxmlformats.org/officeDocument/2006/relationships/hyperlink" Target="https://faculty.engineering.asu.edu/directory/semte/aerospace-and-mechanical-engineering/" TargetMode="External" Id="rId38"/><Relationship Type="http://schemas.openxmlformats.org/officeDocument/2006/relationships/hyperlink" Target="mailto:Gokul.Pathikonda@asu.edu" TargetMode="External" Id="rId39"/><Relationship Type="http://schemas.openxmlformats.org/officeDocument/2006/relationships/hyperlink" Target="https://faculty.engineering.asu.edu/cmat/" TargetMode="External" Id="rId40"/><Relationship Type="http://schemas.openxmlformats.org/officeDocument/2006/relationships/hyperlink" Target="https://scholar.google.com/citations?view_op=search_authors&amp;mauthors=Gokul%20Pathikonda%20Arizona%20State%20University" TargetMode="External" Id="rId41"/><Relationship Type="http://schemas.openxmlformats.org/officeDocument/2006/relationships/hyperlink" Target="https://search.asu.edu/profile/gpathiko" TargetMode="External" Id="rId42"/><Relationship Type="http://schemas.openxmlformats.org/officeDocument/2006/relationships/hyperlink" Target="https://faculty.engineering.asu.edu/directory/semte/aerospace-and-mechanical-engineering/" TargetMode="External" Id="rId43"/><Relationship Type="http://schemas.openxmlformats.org/officeDocument/2006/relationships/hyperlink" Target="mailto:Marcus.Herrmann@asu.edu" TargetMode="External" Id="rId44"/><Relationship Type="http://schemas.openxmlformats.org/officeDocument/2006/relationships/hyperlink" Target="https://scholar.google.com/citations?hl=en&amp;user=yv6aCW8AAAAJ" TargetMode="External" Id="rId45"/><Relationship Type="http://schemas.openxmlformats.org/officeDocument/2006/relationships/hyperlink" Target="https://search.asu.edu/profile/mherrma1" TargetMode="External" Id="rId46"/><Relationship Type="http://schemas.openxmlformats.org/officeDocument/2006/relationships/hyperlink" Target="https://faculty.engineering.asu.edu/directory/semte/aerospace-and-mechanical-engineering/" TargetMode="External" Id="rId47"/><Relationship Type="http://schemas.openxmlformats.org/officeDocument/2006/relationships/hyperlink" Target="mailto:Spring.Berman@asu.edu" TargetMode="External" Id="rId48"/><Relationship Type="http://schemas.openxmlformats.org/officeDocument/2006/relationships/hyperlink" Target="http://faculty.engineering.asu.edu/acs/" TargetMode="External" Id="rId49"/><Relationship Type="http://schemas.openxmlformats.org/officeDocument/2006/relationships/hyperlink" Target="https://scholar.google.com/citations?hl=en&amp;user=KKup0OgAAAAJ" TargetMode="External" Id="rId50"/><Relationship Type="http://schemas.openxmlformats.org/officeDocument/2006/relationships/hyperlink" Target="https://search.asu.edu/profile/smberma2" TargetMode="External" Id="rId51"/><Relationship Type="http://schemas.openxmlformats.org/officeDocument/2006/relationships/hyperlink" Target="https://faculty.engineering.asu.edu/directory/semte/aerospace-and-mechanical-engineering/" TargetMode="External" Id="rId52"/><Relationship Type="http://schemas.openxmlformats.org/officeDocument/2006/relationships/hyperlink" Target="mailto:xzhe1@asu.edu" TargetMode="External" Id="rId53"/><Relationship Type="http://schemas.openxmlformats.org/officeDocument/2006/relationships/hyperlink" Target="https://sites.google.com/site/zhexudavid00710/research?authuser=0" TargetMode="External" Id="rId54"/><Relationship Type="http://schemas.openxmlformats.org/officeDocument/2006/relationships/hyperlink" Target="https://scholar.google.com/citations?view_op=search_authors&amp;mauthors=Zhe%20Xu%20Arizona%20State%20University" TargetMode="External" Id="rId55"/><Relationship Type="http://schemas.openxmlformats.org/officeDocument/2006/relationships/hyperlink" Target="https://search.asu.edu/profile/xzhe1" TargetMode="External" Id="rId56"/><Relationship Type="http://schemas.openxmlformats.org/officeDocument/2006/relationships/hyperlink" Target="https://faculty.engineering.asu.edu/directory/semte/aerospace-and-mechanical-engineering/" TargetMode="External" Id="rId57"/><Relationship Type="http://schemas.openxmlformats.org/officeDocument/2006/relationships/hyperlink" Target="mailto:jeokim@asu.edu" TargetMode="External" Id="rId58"/><Relationship Type="http://schemas.openxmlformats.org/officeDocument/2006/relationships/hyperlink" Target="https://scholar.google.com/citations?view_op=search_authors&amp;mauthors=Jeonglae%20Kim%20Arizona%20State%20University" TargetMode="External" Id="rId59"/><Relationship Type="http://schemas.openxmlformats.org/officeDocument/2006/relationships/hyperlink" Target="https://search.asu.edu/profile/jkim520" TargetMode="External" Id="rId60"/><Relationship Type="http://schemas.openxmlformats.org/officeDocument/2006/relationships/hyperlink" Target="https://faculty.engineering.asu.edu/directory/semte/aerospace-and-mechanical-engineering/" TargetMode="External" Id="rId61"/><Relationship Type="http://schemas.openxmlformats.org/officeDocument/2006/relationships/hyperlink" Target="mailto:mpeet@asu.edu" TargetMode="External" Id="rId62"/><Relationship Type="http://schemas.openxmlformats.org/officeDocument/2006/relationships/hyperlink" Target="http://control.asu.edu/" TargetMode="External" Id="rId63"/><Relationship Type="http://schemas.openxmlformats.org/officeDocument/2006/relationships/hyperlink" Target="https://scholar.google.com/citations?view_op=search_authors&amp;mauthors=Matthew%20Peet%20Arizona%20State%20University" TargetMode="External" Id="rId64"/><Relationship Type="http://schemas.openxmlformats.org/officeDocument/2006/relationships/hyperlink" Target="https://search.asu.edu/profile/mpeet" TargetMode="External" Id="rId65"/><Relationship Type="http://schemas.openxmlformats.org/officeDocument/2006/relationships/hyperlink" Target="https://faculty.engineering.asu.edu/directory/semte/aerospace-and-mechanical-engineering/" TargetMode="External" Id="rId66"/><Relationship Type="http://schemas.openxmlformats.org/officeDocument/2006/relationships/hyperlink" Target="mailto:rywang@asu.edu" TargetMode="External" Id="rId67"/><Relationship Type="http://schemas.openxmlformats.org/officeDocument/2006/relationships/hyperlink" Target="http://wang.faculty.asu.edu/" TargetMode="External" Id="rId68"/><Relationship Type="http://schemas.openxmlformats.org/officeDocument/2006/relationships/hyperlink" Target="https://scholar.google.com/citations?hl=en&amp;user=LaUdx9gAAAAJ" TargetMode="External" Id="rId69"/><Relationship Type="http://schemas.openxmlformats.org/officeDocument/2006/relationships/hyperlink" Target="https://search.asu.edu/profile/rywang" TargetMode="External" Id="rId70"/><Relationship Type="http://schemas.openxmlformats.org/officeDocument/2006/relationships/hyperlink" Target="https://faculty.engineering.asu.edu/directory/semte/aerospace-and-mechanical-engineering/" TargetMode="External" Id="rId71"/><Relationship Type="http://schemas.openxmlformats.org/officeDocument/2006/relationships/hyperlink" Target="mailto:Ryan.Milcarek@asu.edu" TargetMode="External" Id="rId72"/><Relationship Type="http://schemas.openxmlformats.org/officeDocument/2006/relationships/hyperlink" Target="http://RESEARCHGATE.net/profile/Ryan_Milcarek" TargetMode="External" Id="rId73"/><Relationship Type="http://schemas.openxmlformats.org/officeDocument/2006/relationships/hyperlink" Target="https://scholar.google.com/citations?hl=en&amp;user=m-Pb6g2pm2UC" TargetMode="External" Id="rId74"/><Relationship Type="http://schemas.openxmlformats.org/officeDocument/2006/relationships/hyperlink" Target="https://search.asu.edu/profile/rjmilcar" TargetMode="External" Id="rId75"/><Relationship Type="http://schemas.openxmlformats.org/officeDocument/2006/relationships/hyperlink" Target="https://faculty.engineering.asu.edu/directory/semte/aerospace-and-mechanical-engineering/" TargetMode="External" Id="rId76"/><Relationship Type="http://schemas.openxmlformats.org/officeDocument/2006/relationships/hyperlink" Target="mailto:ATTWL@asu.edu" TargetMode="External" Id="rId77"/><Relationship Type="http://schemas.openxmlformats.org/officeDocument/2006/relationships/hyperlink" Target="https://scholar.google.com/citations?view_op=search_authors&amp;mauthors=T.-W.%20Lee%20Arizona%20State%20University" TargetMode="External" Id="rId78"/><Relationship Type="http://schemas.openxmlformats.org/officeDocument/2006/relationships/hyperlink" Target="https://search.asu.edu/profile/attwl" TargetMode="External" Id="rId79"/><Relationship Type="http://schemas.openxmlformats.org/officeDocument/2006/relationships/hyperlink" Target="https://faculty.engineering.asu.edu/directory/semte/aerospace-and-mechanical-engineering/" TargetMode="External" Id="rId80"/><Relationship Type="http://schemas.openxmlformats.org/officeDocument/2006/relationships/hyperlink" Target="mailto:Tianyu.Yang@asu.edu" TargetMode="External" Id="rId81"/><Relationship Type="http://schemas.openxmlformats.org/officeDocument/2006/relationships/hyperlink" Target="https://scholar.google.com/citations?hl=en&amp;user=OmBV67MAAAAJ" TargetMode="External" Id="rId82"/><Relationship Type="http://schemas.openxmlformats.org/officeDocument/2006/relationships/hyperlink" Target="https://search.asu.edu/profile/tyang123" TargetMode="External" Id="rId83"/><Relationship Type="http://schemas.openxmlformats.org/officeDocument/2006/relationships/hyperlink" Target="https://faculty.engineering.asu.edu/directory/semte/aerospace-and-mechanical-engineering/" TargetMode="External" Id="rId84"/><Relationship Type="http://schemas.openxmlformats.org/officeDocument/2006/relationships/hyperlink" Target="mailto:aditi@asu.edu" TargetMode="External" Id="rId85"/><Relationship Type="http://schemas.openxmlformats.org/officeDocument/2006/relationships/hyperlink" Target="https://scholar.google.com/citations?hl=en&amp;user=w3fU9E0AAAAJ" TargetMode="External" Id="rId86"/><Relationship Type="http://schemas.openxmlformats.org/officeDocument/2006/relationships/hyperlink" Target="https://search.asu.edu/profile/chattopa" TargetMode="External" Id="rId87"/><Relationship Type="http://schemas.openxmlformats.org/officeDocument/2006/relationships/hyperlink" Target="https://faculty.engineering.asu.edu/directory/semte/aerospace-and-mechanical-engineering/" TargetMode="External" Id="rId88"/><Relationship Type="http://schemas.openxmlformats.org/officeDocument/2006/relationships/hyperlink" Target="mailto:Alberto.Scotti@asu.edu" TargetMode="External" Id="rId89"/><Relationship Type="http://schemas.openxmlformats.org/officeDocument/2006/relationships/hyperlink" Target="https://scholar.google.com/citations?hl=en&amp;user=HRx2lJQAAAAJ" TargetMode="External" Id="rId90"/><Relationship Type="http://schemas.openxmlformats.org/officeDocument/2006/relationships/hyperlink" Target="https://search.asu.edu/profile/adscotti" TargetMode="External" Id="rId91"/><Relationship Type="http://schemas.openxmlformats.org/officeDocument/2006/relationships/hyperlink" Target="https://faculty.engineering.asu.edu/directory/semte/aerospace-and-mechanical-engineering/" TargetMode="External" Id="rId92"/><Relationship Type="http://schemas.openxmlformats.org/officeDocument/2006/relationships/hyperlink" Target="mailto:kwon@asu.edu" TargetMode="External" Id="rId93"/><Relationship Type="http://schemas.openxmlformats.org/officeDocument/2006/relationships/hyperlink" Target="http://sites.google.com/view/3denergy" TargetMode="External" Id="rId94"/><Relationship Type="http://schemas.openxmlformats.org/officeDocument/2006/relationships/hyperlink" Target="https://scholar.google.com/citations?hl=en&amp;user=fs2d97sAAAAJ" TargetMode="External" Id="rId95"/><Relationship Type="http://schemas.openxmlformats.org/officeDocument/2006/relationships/hyperlink" Target="https://search.asu.edu/profile/bkwon2" TargetMode="External" Id="rId96"/><Relationship Type="http://schemas.openxmlformats.org/officeDocument/2006/relationships/hyperlink" Target="https://faculty.engineering.asu.edu/directory/semte/aerospace-and-mechanical-engineering/" TargetMode="External" Id="rId97"/><Relationship Type="http://schemas.openxmlformats.org/officeDocument/2006/relationships/hyperlink" Target="mailto:hmarvi@asu.edu" TargetMode="External" Id="rId98"/><Relationship Type="http://schemas.openxmlformats.org/officeDocument/2006/relationships/hyperlink" Target="http://birth.asu.edu" TargetMode="External" Id="rId99"/><Relationship Type="http://schemas.openxmlformats.org/officeDocument/2006/relationships/hyperlink" Target="https://scholar.google.com/citations?hl=en&amp;user=00Fepb0AAAAJ" TargetMode="External" Id="rId100"/><Relationship Type="http://schemas.openxmlformats.org/officeDocument/2006/relationships/hyperlink" Target="https://search.asu.edu/profile/hmarvi" TargetMode="External" Id="rId101"/><Relationship Type="http://schemas.openxmlformats.org/officeDocument/2006/relationships/hyperlink" Target="https://faculty.engineering.asu.edu/directory/semte/aerospace-and-mechanical-engineering/" TargetMode="External" Id="rId102"/><Relationship Type="http://schemas.openxmlformats.org/officeDocument/2006/relationships/hyperlink" Target="mailto:Hyunglae.Lee@asu.edu" TargetMode="External" Id="rId103"/><Relationship Type="http://schemas.openxmlformats.org/officeDocument/2006/relationships/hyperlink" Target="https://faculty.engineering.asu.edu/hlee" TargetMode="External" Id="rId104"/><Relationship Type="http://schemas.openxmlformats.org/officeDocument/2006/relationships/hyperlink" Target="https://scholar.google.com/citations?view_op=search_authors&amp;mauthors=Hyunglae%20Lee%20Arizona%20State%20University" TargetMode="External" Id="rId105"/><Relationship Type="http://schemas.openxmlformats.org/officeDocument/2006/relationships/hyperlink" Target="https://search.asu.edu/profile/hlee234" TargetMode="External" Id="rId106"/><Relationship Type="http://schemas.openxmlformats.org/officeDocument/2006/relationships/hyperlink" Target="https://faculty.engineering.asu.edu/directory/semte/aerospace-and-mechanical-engineering/" TargetMode="External" Id="rId107"/><Relationship Type="http://schemas.openxmlformats.org/officeDocument/2006/relationships/hyperlink" Target="mailto:ladani@asu.edu" TargetMode="External" Id="rId108"/><Relationship Type="http://schemas.openxmlformats.org/officeDocument/2006/relationships/hyperlink" Target="https://magic.asu.edu/" TargetMode="External" Id="rId109"/><Relationship Type="http://schemas.openxmlformats.org/officeDocument/2006/relationships/hyperlink" Target="https://scholar.google.com/citations?view_op=search_authors&amp;mauthors=Leila%20Ladani%20Arizona%20State%20University" TargetMode="External" Id="rId110"/><Relationship Type="http://schemas.openxmlformats.org/officeDocument/2006/relationships/hyperlink" Target="https://search.asu.edu/profile/ljannesa" TargetMode="External" Id="rId111"/><Relationship Type="http://schemas.openxmlformats.org/officeDocument/2006/relationships/hyperlink" Target="https://faculty.engineering.asu.edu/directory/semte/aerospace-and-mechanical-engineering/" TargetMode="External" Id="rId112"/><Relationship Type="http://schemas.openxmlformats.org/officeDocument/2006/relationships/hyperlink" Target="mailto:phelan@asu.edu" TargetMode="External" Id="rId113"/><Relationship Type="http://schemas.openxmlformats.org/officeDocument/2006/relationships/hyperlink" Target="https://scholar.google.com/citations?view_op=search_authors&amp;mauthors=Patrick%20Phelan%20Arizona%20State%20University" TargetMode="External" Id="rId114"/><Relationship Type="http://schemas.openxmlformats.org/officeDocument/2006/relationships/hyperlink" Target="https://search.asu.edu/profile/pphelan" TargetMode="External" Id="rId115"/><Relationship Type="http://schemas.openxmlformats.org/officeDocument/2006/relationships/hyperlink" Target="https://faculty.engineering.asu.edu/directory/semte/aerospace-and-mechanical-engineering/" TargetMode="External" Id="rId116"/><Relationship Type="http://schemas.openxmlformats.org/officeDocument/2006/relationships/hyperlink" Target="mailto:ypeet@asu.edu" TargetMode="External" Id="rId117"/><Relationship Type="http://schemas.openxmlformats.org/officeDocument/2006/relationships/hyperlink" Target="https://isim.asu.edu" TargetMode="External" Id="rId118"/><Relationship Type="http://schemas.openxmlformats.org/officeDocument/2006/relationships/hyperlink" Target="https://scholar.google.com/citations?hl=en&amp;user=_6o8MrUAAAAJ" TargetMode="External" Id="rId119"/><Relationship Type="http://schemas.openxmlformats.org/officeDocument/2006/relationships/hyperlink" Target="https://search.asu.edu/profile/ypeet" TargetMode="External" Id="rId120"/><Relationship Type="http://schemas.openxmlformats.org/officeDocument/2006/relationships/hyperlink" Target="https://faculty.engineering.asu.edu/directory/semte/aerospace-and-mechanical-engineering/" TargetMode="External" Id="rId121"/><Relationship Type="http://schemas.openxmlformats.org/officeDocument/2006/relationships/hyperlink" Target="mailto:zhuanghl@asu.edu" TargetMode="External" Id="rId122"/><Relationship Type="http://schemas.openxmlformats.org/officeDocument/2006/relationships/hyperlink" Target="https://scholar.google.com/citations?hl=en&amp;user=4yYKCpUAAAAJ" TargetMode="External" Id="rId123"/><Relationship Type="http://schemas.openxmlformats.org/officeDocument/2006/relationships/hyperlink" Target="https://search.asu.edu/profile/hzhuang7" TargetMode="External" Id="rId124"/><Relationship Type="http://schemas.openxmlformats.org/officeDocument/2006/relationships/hyperlink" Target="https://faculty.engineering.asu.edu/directory/semte/aerospace-and-mechanical-engineering/" TargetMode="External" Id="rId125"/><Relationship Type="http://schemas.openxmlformats.org/officeDocument/2006/relationships/hyperlink" Target="mailto:Huei-Ping.Huang@asu.edu" TargetMode="External" Id="rId126"/><Relationship Type="http://schemas.openxmlformats.org/officeDocument/2006/relationships/hyperlink" Target="http://www.public.asu.edu/~hhuang38" TargetMode="External" Id="rId127"/><Relationship Type="http://schemas.openxmlformats.org/officeDocument/2006/relationships/hyperlink" Target="https://scholar.google.com/citations?view_op=search_authors&amp;mauthors=Huei-Ping%20Huang%20Arizona%20State%20University" TargetMode="External" Id="rId128"/><Relationship Type="http://schemas.openxmlformats.org/officeDocument/2006/relationships/hyperlink" Target="https://search.asu.edu/profile/hhuang38" TargetMode="External" Id="rId129"/><Relationship Type="http://schemas.openxmlformats.org/officeDocument/2006/relationships/hyperlink" Target="https://faculty.engineering.asu.edu/directory/semte/aerospace-and-mechanical-engineering/" TargetMode="External" Id="rId130"/><Relationship Type="http://schemas.openxmlformats.org/officeDocument/2006/relationships/hyperlink" Target="mailto:Jagannathan.Rajagopalan@asu.edu" TargetMode="External" Id="rId131"/><Relationship Type="http://schemas.openxmlformats.org/officeDocument/2006/relationships/hyperlink" Target="http://faculty.engineering.asu.edu/jagan/" TargetMode="External" Id="rId132"/><Relationship Type="http://schemas.openxmlformats.org/officeDocument/2006/relationships/hyperlink" Target="https://scholar.google.com/citations?hl=en&amp;user=ClqRIhIAAAAJ" TargetMode="External" Id="rId133"/><Relationship Type="http://schemas.openxmlformats.org/officeDocument/2006/relationships/hyperlink" Target="https://search.asu.edu/profile/jrajago1" TargetMode="External" Id="rId134"/><Relationship Type="http://schemas.openxmlformats.org/officeDocument/2006/relationships/hyperlink" Target="https://faculty.engineering.asu.edu/directory/semte/aerospace-and-mechanical-engineering/" TargetMode="External" Id="rId135"/><Relationship Type="http://schemas.openxmlformats.org/officeDocument/2006/relationships/hyperlink" Target="mailto:konradr@asu.edu" TargetMode="External" Id="rId136"/><Relationship Type="http://schemas.openxmlformats.org/officeDocument/2006/relationships/hyperlink" Target="http://faculty.engineering.asu.edu/konrad/" TargetMode="External" Id="rId137"/><Relationship Type="http://schemas.openxmlformats.org/officeDocument/2006/relationships/hyperlink" Target="https://scholar.google.com/citations?hl=en&amp;user=SWeAf4UAAAAJ" TargetMode="External" Id="rId138"/><Relationship Type="http://schemas.openxmlformats.org/officeDocument/2006/relationships/hyperlink" Target="https://search.asu.edu/profile/krykacze" TargetMode="External" Id="rId139"/><Relationship Type="http://schemas.openxmlformats.org/officeDocument/2006/relationships/hyperlink" Target="https://faculty.engineering.asu.edu/directory/semte/aerospace-and-mechanical-engineering/" TargetMode="External" Id="rId140"/><Relationship Type="http://schemas.openxmlformats.org/officeDocument/2006/relationships/hyperlink" Target="mailto:minglei.qu@asu.edu" TargetMode="External" Id="rId141"/><Relationship Type="http://schemas.openxmlformats.org/officeDocument/2006/relationships/hyperlink" Target="https://scholar.google.com/citations?hl=en&amp;user=9LWNC50AAAAJ" TargetMode="External" Id="rId142"/><Relationship Type="http://schemas.openxmlformats.org/officeDocument/2006/relationships/hyperlink" Target="https://search.asu.edu/profile/mingleiq" TargetMode="External" Id="rId143"/><Relationship Type="http://schemas.openxmlformats.org/officeDocument/2006/relationships/hyperlink" Target="https://faculty.engineering.asu.edu/directory/semte/aerospace-and-mechanical-engineering/" TargetMode="External" Id="rId144"/><Relationship Type="http://schemas.openxmlformats.org/officeDocument/2006/relationships/hyperlink" Target="mailto:Qiong.Nian@asu.edu" TargetMode="External" Id="rId145"/><Relationship Type="http://schemas.openxmlformats.org/officeDocument/2006/relationships/hyperlink" Target="https://mmmplab.engineering.asu.edu/" TargetMode="External" Id="rId146"/><Relationship Type="http://schemas.openxmlformats.org/officeDocument/2006/relationships/hyperlink" Target="https://scholar.google.com/citations?view_op=search_authors&amp;mauthors=Qiong%20Nian%20Arizona%20State%20University" TargetMode="External" Id="rId147"/><Relationship Type="http://schemas.openxmlformats.org/officeDocument/2006/relationships/hyperlink" Target="https://search.asu.edu/profile/qnian" TargetMode="External" Id="rId148"/><Relationship Type="http://schemas.openxmlformats.org/officeDocument/2006/relationships/hyperlink" Target="https://faculty.engineering.asu.edu/directory/semte/aerospace-and-mechanical-engineering/" TargetMode="External" Id="rId149"/><Relationship Type="http://schemas.openxmlformats.org/officeDocument/2006/relationships/hyperlink" Target="mailto:Ronald.Calhoun@asu.edu" TargetMode="External" Id="rId150"/><Relationship Type="http://schemas.openxmlformats.org/officeDocument/2006/relationships/hyperlink" Target="https://windlab.engineering.asu.edu/ronald-calhoun/" TargetMode="External" Id="rId151"/><Relationship Type="http://schemas.openxmlformats.org/officeDocument/2006/relationships/hyperlink" Target="https://scholar.google.com/citations?view_op=search_authors&amp;mauthors=Ronald%20Calhoun%20Arizona%20State%20University" TargetMode="External" Id="rId152"/><Relationship Type="http://schemas.openxmlformats.org/officeDocument/2006/relationships/hyperlink" Target="https://search.asu.edu/profile/rcalhou" TargetMode="External" Id="rId153"/><Relationship Type="http://schemas.openxmlformats.org/officeDocument/2006/relationships/hyperlink" Target="https://faculty.engineering.asu.edu/directory/semte/aerospace-and-mechanical-engineering/" TargetMode="External" Id="rId154"/><Relationship Type="http://schemas.openxmlformats.org/officeDocument/2006/relationships/hyperlink" Target="mailto:wjin@asu.edu" TargetMode="External" Id="rId155"/><Relationship Type="http://schemas.openxmlformats.org/officeDocument/2006/relationships/hyperlink" Target="https://irislab.tech/" TargetMode="External" Id="rId156"/><Relationship Type="http://schemas.openxmlformats.org/officeDocument/2006/relationships/hyperlink" Target="https://scholar.google.com/citations?hl=en&amp;user=SoEC4h4AAAAJ" TargetMode="External" Id="rId157"/><Relationship Type="http://schemas.openxmlformats.org/officeDocument/2006/relationships/hyperlink" Target="https://search.asu.edu/profile/wjin34" TargetMode="External" Id="rId158"/><Relationship Type="http://schemas.openxmlformats.org/officeDocument/2006/relationships/hyperlink" Target="https://faculty.engineering.asu.edu/directory/semte/aerospace-and-mechanical-engineering/" TargetMode="External" Id="rId159"/><Relationship Type="http://schemas.openxmlformats.org/officeDocument/2006/relationships/hyperlink" Target="mailto:Yongming.Liu@asu.edu" TargetMode="External" Id="rId160"/><Relationship Type="http://schemas.openxmlformats.org/officeDocument/2006/relationships/hyperlink" Target="https://scholar.google.com/citations?view_op=search_authors&amp;mauthors=Yongming%20Liu%20Arizona%20State%20University" TargetMode="External" Id="rId161"/><Relationship Type="http://schemas.openxmlformats.org/officeDocument/2006/relationships/hyperlink" Target="https://search.asu.edu/profile/yliu35" TargetMode="External" Id="rId162"/><Relationship Type="http://schemas.openxmlformats.org/officeDocument/2006/relationships/hyperlink" Target="https://faculty.engineering.asu.edu/directory/semte/aerospace-and-mechanical-engineering/" TargetMode="External" Id="rId163"/><Relationship Type="http://schemas.openxmlformats.org/officeDocument/2006/relationships/hyperlink" Target="mailto:xiangjia.li@asu.edu" TargetMode="External" Id="rId164"/><Relationship Type="http://schemas.openxmlformats.org/officeDocument/2006/relationships/hyperlink" Target="https://www.cindyxjli.com/" TargetMode="External" Id="rId165"/><Relationship Type="http://schemas.openxmlformats.org/officeDocument/2006/relationships/hyperlink" Target="https://scholar.google.com/citations?hl=en&amp;user=tGQzHJIAAAAJ" TargetMode="External" Id="rId166"/><Relationship Type="http://schemas.openxmlformats.org/officeDocument/2006/relationships/hyperlink" Target="https://search.asu.edu/profile/xiangji5" TargetMode="External" Id="rId167"/><Relationship Type="http://schemas.openxmlformats.org/officeDocument/2006/relationships/hyperlink" Target="https://faculty.engineering.asu.edu/directory/semte/aerospace-and-mechanical-engineering/" TargetMode="External" Id="rId168"/><Relationship Type="http://schemas.openxmlformats.org/officeDocument/2006/relationships/hyperlink" Target="mailto:jimbo@asu.edu" TargetMode="External" Id="rId169"/><Relationship Type="http://schemas.openxmlformats.org/officeDocument/2006/relationships/hyperlink" Target="https://scholar.google.com/citations?view_op=search_authors&amp;mauthors=James%20Middleton%20Arizona%20State%20University" TargetMode="External" Id="rId170"/><Relationship Type="http://schemas.openxmlformats.org/officeDocument/2006/relationships/hyperlink" Target="https://search.asu.edu/profile/jimbo" TargetMode="External" Id="rId171"/><Relationship Type="http://schemas.openxmlformats.org/officeDocument/2006/relationships/hyperlink" Target="https://faculty.engineering.asu.edu/directory/semte/aerospace-and-mechanical-engineering/" TargetMode="External" Id="rId172"/><Relationship Type="http://schemas.openxmlformats.org/officeDocument/2006/relationships/hyperlink" Target="mailto:Lin.Li.10@asu.edu" TargetMode="External" Id="rId173"/><Relationship Type="http://schemas.openxmlformats.org/officeDocument/2006/relationships/hyperlink" Target="https://scholar.google.com/citations?view_op=search_authors&amp;mauthors=Lin%20Li%20Arizona%20State%20University" TargetMode="External" Id="rId174"/><Relationship Type="http://schemas.openxmlformats.org/officeDocument/2006/relationships/hyperlink" Target="https://search.asu.edu/profile/linli25" TargetMode="External" Id="rId175"/><Relationship Type="http://schemas.openxmlformats.org/officeDocument/2006/relationships/hyperlink" Target="https://faculty.engineering.asu.edu/directory/semte/aerospace-and-mechanical-engineering/" TargetMode="External" Id="rId176"/><Relationship Type="http://schemas.openxmlformats.org/officeDocument/2006/relationships/hyperlink" Target="mailto:marc.mignolet@asu.edu" TargetMode="External" Id="rId177"/><Relationship Type="http://schemas.openxmlformats.org/officeDocument/2006/relationships/hyperlink" Target="https://scholar.google.com/citations?view_op=search_authors&amp;mauthors=Marc%20Mignolet%20Arizona%20State%20University" TargetMode="External" Id="rId178"/><Relationship Type="http://schemas.openxmlformats.org/officeDocument/2006/relationships/hyperlink" Target="https://search.asu.edu/profile/marc03" TargetMode="External" Id="rId179"/><Relationship Type="http://schemas.openxmlformats.org/officeDocument/2006/relationships/hyperlink" Target="https://faculty.engineering.asu.edu/directory/semte/aerospace-and-mechanical-engineering/" TargetMode="External" Id="rId180"/><Relationship Type="http://schemas.openxmlformats.org/officeDocument/2006/relationships/hyperlink" Target="mailto:pperalta@asu.edu" TargetMode="External" Id="rId181"/><Relationship Type="http://schemas.openxmlformats.org/officeDocument/2006/relationships/hyperlink" Target="https://faculty.engineering.asu.edu/pperalta/" TargetMode="External" Id="rId182"/><Relationship Type="http://schemas.openxmlformats.org/officeDocument/2006/relationships/hyperlink" Target="https://scholar.google.com/citations?view_op=search_authors&amp;mauthors=Pedro%20Peralta%20Arizona%20State%20University" TargetMode="External" Id="rId183"/><Relationship Type="http://schemas.openxmlformats.org/officeDocument/2006/relationships/hyperlink" Target="https://search.asu.edu/profile/pperalta" TargetMode="External" Id="rId184"/><Relationship Type="http://schemas.openxmlformats.org/officeDocument/2006/relationships/hyperlink" Target="https://faculty.engineering.asu.edu/directory/semte/aerospace-and-mechanical-engineering/" TargetMode="External" Id="rId185"/><Relationship Type="http://schemas.openxmlformats.org/officeDocument/2006/relationships/hyperlink" Target="mailto:Wonmo.Kang@asu.edu" TargetMode="External" Id="rId186"/><Relationship Type="http://schemas.openxmlformats.org/officeDocument/2006/relationships/hyperlink" Target="https://wonmokang3.wixsite.com/website" TargetMode="External" Id="rId187"/><Relationship Type="http://schemas.openxmlformats.org/officeDocument/2006/relationships/hyperlink" Target="https://scholar.google.com/citations?hl=en&amp;user=bHyyOTAAAAAJ" TargetMode="External" Id="rId188"/><Relationship Type="http://schemas.openxmlformats.org/officeDocument/2006/relationships/hyperlink" Target="https://search.asu.edu/profile/wkang16" TargetMode="External" Id="rId189"/><Relationship Type="http://schemas.openxmlformats.org/officeDocument/2006/relationships/hyperlink" Target="https://faculty.engineering.asu.edu/directory/semte/aerospace-and-mechanical-engineering/" TargetMode="External" Id="rId190"/><Relationship Type="http://schemas.openxmlformats.org/officeDocument/2006/relationships/hyperlink" Target="mailto:yiren@asu.edu" TargetMode="External" Id="rId191"/><Relationship Type="http://schemas.openxmlformats.org/officeDocument/2006/relationships/hyperlink" Target="https://scholar.google.com/citations?view_op=search_authors&amp;mauthors=Yi%20Ren%20Arizona%20State%20University" TargetMode="External" Id="rId192"/><Relationship Type="http://schemas.openxmlformats.org/officeDocument/2006/relationships/hyperlink" Target="https://search.asu.edu/profile/yren32" TargetMode="External" Id="rId193"/><Relationship Type="http://schemas.openxmlformats.org/officeDocument/2006/relationships/hyperlink" Target="https://faculty.engineering.asu.edu/directory/semte/aerospace-and-mechanical-engineering/" TargetMode="External" Id="rId194"/><Relationship Type="http://schemas.openxmlformats.org/officeDocument/2006/relationships/hyperlink" Target="mailto:Derrick.Speaks@asu.edu" TargetMode="External" Id="rId195"/><Relationship Type="http://schemas.openxmlformats.org/officeDocument/2006/relationships/hyperlink" Target="https://scholar.google.com/citations?view_op=search_authors&amp;mauthors=Derrick%20Speaks%20Arizona%20State%20University" TargetMode="External" Id="rId196"/><Relationship Type="http://schemas.openxmlformats.org/officeDocument/2006/relationships/hyperlink" Target="https://search.asu.edu/profile/dspeaks2" TargetMode="External" Id="rId197"/><Relationship Type="http://schemas.openxmlformats.org/officeDocument/2006/relationships/hyperlink" Target="https://faculty.engineering.asu.edu/directory/semte/aerospace-and-mechanical-engineering/" TargetMode="External" Id="rId198"/><Relationship Type="http://schemas.openxmlformats.org/officeDocument/2006/relationships/hyperlink" Target="mailto:Erik.J.Andersen@asu.edu" TargetMode="External" Id="rId199"/><Relationship Type="http://schemas.openxmlformats.org/officeDocument/2006/relationships/hyperlink" Target="https://scholar.google.com/citations?view_op=search_authors&amp;mauthors=Erik%20Andersen%20Arizona%20State%20University" TargetMode="External" Id="rId200"/><Relationship Type="http://schemas.openxmlformats.org/officeDocument/2006/relationships/hyperlink" Target="https://search.asu.edu/profile/ejande22" TargetMode="External" Id="rId201"/><Relationship Type="http://schemas.openxmlformats.org/officeDocument/2006/relationships/hyperlink" Target="https://faculty.engineering.asu.edu/directory/semte/aerospace-and-mechanical-engineering/" TargetMode="External" Id="rId202"/><Relationship Type="http://schemas.openxmlformats.org/officeDocument/2006/relationships/hyperlink" Target="mailto:Ivy.Chang@asu.edu" TargetMode="External" Id="rId203"/><Relationship Type="http://schemas.openxmlformats.org/officeDocument/2006/relationships/hyperlink" Target="https://scholar.google.com/citations?view_op=search_authors&amp;mauthors=Ivy%20Chang%20Arizona%20State%20University" TargetMode="External" Id="rId204"/><Relationship Type="http://schemas.openxmlformats.org/officeDocument/2006/relationships/hyperlink" Target="https://search.asu.edu/profile/iychang" TargetMode="External" Id="rId205"/><Relationship Type="http://schemas.openxmlformats.org/officeDocument/2006/relationships/hyperlink" Target="https://faculty.engineering.asu.edu/directory/semte/aerospace-and-mechanical-engineering/" TargetMode="External" Id="rId206"/><Relationship Type="http://schemas.openxmlformats.org/officeDocument/2006/relationships/hyperlink" Target="mailto:Joshua.Wilbur@asu.edu" TargetMode="External" Id="rId207"/><Relationship Type="http://schemas.openxmlformats.org/officeDocument/2006/relationships/hyperlink" Target="https://scholar.google.com/citations?view_op=search_authors&amp;mauthors=Joshua%20Wilbur%20Arizona%20State%20University" TargetMode="External" Id="rId208"/><Relationship Type="http://schemas.openxmlformats.org/officeDocument/2006/relationships/hyperlink" Target="https://search.asu.edu/profile/jdwilbu1" TargetMode="External" Id="rId209"/><Relationship Type="http://schemas.openxmlformats.org/officeDocument/2006/relationships/hyperlink" Target="https://faculty.engineering.asu.edu/directory/semte/aerospace-and-mechanical-engineering/" TargetMode="External" Id="rId210"/><Relationship Type="http://schemas.openxmlformats.org/officeDocument/2006/relationships/hyperlink" Target="mailto:Ricardo.Cruz.Lozano@asu.edu" TargetMode="External" Id="rId211"/><Relationship Type="http://schemas.openxmlformats.org/officeDocument/2006/relationships/hyperlink" Target="https://scholar.google.com/citations?view_op=search_authors&amp;mauthors=Ricardo%20Cruz%20Lozano%20Arizona%20State%20University" TargetMode="External" Id="rId212"/><Relationship Type="http://schemas.openxmlformats.org/officeDocument/2006/relationships/hyperlink" Target="https://search.asu.edu/profile/rcruzloz" TargetMode="External" Id="rId213"/><Relationship Type="http://schemas.openxmlformats.org/officeDocument/2006/relationships/hyperlink" Target="https://faculty.engineering.asu.edu/directory/semte/aerospace-and-mechanical-engineering/" TargetMode="External" Id="rId214"/><Relationship Type="http://schemas.openxmlformats.org/officeDocument/2006/relationships/hyperlink" Target="mailto:Srinivas.Kosaraju@asu.edu" TargetMode="External" Id="rId215"/><Relationship Type="http://schemas.openxmlformats.org/officeDocument/2006/relationships/hyperlink" Target="https://scholar.google.com/citations?view_op=search_authors&amp;mauthors=Srinivas%20Chakravarthi%20Kosaraju%20Arizona%20State%20University" TargetMode="External" Id="rId216"/><Relationship Type="http://schemas.openxmlformats.org/officeDocument/2006/relationships/hyperlink" Target="https://search.asu.edu/profile/skosara2" TargetMode="External" Id="rId217"/><Relationship Type="http://schemas.openxmlformats.org/officeDocument/2006/relationships/hyperlink" Target="https://faculty.engineering.asu.edu/directory/semte/aerospace-and-mechanical-engineering/" TargetMode="External" Id="rId218"/></Relationships>
</file>

<file path=xl/worksheets/sheet1.xml><?xml version="1.0" encoding="utf-8"?>
<worksheet xmlns="http://schemas.openxmlformats.org/spreadsheetml/2006/main">
  <sheetPr>
    <outlinePr summaryBelow="1" summaryRight="1"/>
    <pageSetUpPr/>
  </sheetPr>
  <dimension ref="A1:X43"/>
  <sheetViews>
    <sheetView showGridLines="1" workbookViewId="0">
      <selection activeCell="A1" sqref="A1"/>
    </sheetView>
  </sheetViews>
  <sheetFormatPr baseColWidth="8" defaultRowHeight="15"/>
  <cols>
    <col width="28" customWidth="1" min="1" max="1"/>
    <col width="23" customWidth="1" min="2" max="2"/>
    <col width="49" customWidth="1" min="3" max="3"/>
    <col width="28" customWidth="1" min="4" max="4"/>
    <col width="38" customWidth="1" min="5" max="5"/>
    <col width="17" customWidth="1" min="6" max="6"/>
    <col width="65" customWidth="1" min="7" max="7"/>
    <col width="65" customWidth="1" min="8" max="8"/>
    <col width="65" customWidth="1" min="9" max="9"/>
    <col width="49" customWidth="1" min="10" max="10"/>
    <col width="53" customWidth="1" min="11" max="11"/>
    <col width="20" customWidth="1" min="12" max="12"/>
    <col width="65" customWidth="1" min="13" max="13"/>
    <col width="61" customWidth="1" min="14" max="14"/>
    <col width="65" customWidth="1" min="15" max="15"/>
    <col width="65" customWidth="1" min="16" max="16"/>
    <col width="65" customWidth="1" min="17" max="17"/>
    <col width="65" customWidth="1" min="18" max="18"/>
    <col width="32" customWidth="1" min="19" max="19"/>
    <col width="16" customWidth="1" min="20" max="20"/>
    <col width="49" customWidth="1" min="21" max="21"/>
    <col width="46" customWidth="1" min="22" max="22"/>
    <col width="18" customWidth="1" min="23" max="23"/>
    <col width="49" customWidth="1" min="24" max="24"/>
  </cols>
  <sheetData>
    <row r="1">
      <c r="A1" s="1" t="inlineStr">
        <is>
          <t>Name</t>
        </is>
      </c>
      <c r="B1" s="1" t="inlineStr">
        <is>
          <t>Job Title</t>
        </is>
      </c>
      <c r="C1" s="1" t="inlineStr">
        <is>
          <t>Email</t>
        </is>
      </c>
      <c r="D1" s="1" t="inlineStr">
        <is>
          <t>University</t>
        </is>
      </c>
      <c r="E1" s="1" t="inlineStr">
        <is>
          <t>Department</t>
        </is>
      </c>
      <c r="F1" s="1" t="inlineStr">
        <is>
          <t>Matched Count</t>
        </is>
      </c>
      <c r="G1" s="1" t="inlineStr">
        <is>
          <t>Matched Fields</t>
        </is>
      </c>
      <c r="H1" s="1" t="inlineStr">
        <is>
          <t>Actively Hiring / Openings</t>
        </is>
      </c>
      <c r="I1" s="1" t="inlineStr">
        <is>
          <t>Lab / Research Group Name</t>
        </is>
      </c>
      <c r="J1" s="1" t="inlineStr">
        <is>
          <t>Lab / Personal Website</t>
        </is>
      </c>
      <c r="K1" s="1" t="inlineStr">
        <is>
          <t>Target Skills / Prerequisites</t>
        </is>
      </c>
      <c r="L1" s="1" t="inlineStr">
        <is>
          <t>Funding Sponsors</t>
        </is>
      </c>
      <c r="M1" s="1" t="inlineStr">
        <is>
          <t>Software / Code Repo</t>
        </is>
      </c>
      <c r="N1" s="1" t="inlineStr">
        <is>
          <t>Latest Project / Highlight</t>
        </is>
      </c>
      <c r="O1" s="1" t="inlineStr">
        <is>
          <t>Research Interests</t>
        </is>
      </c>
      <c r="P1" s="1" t="inlineStr">
        <is>
          <t>Expertise Areas</t>
        </is>
      </c>
      <c r="Q1" s="1" t="inlineStr">
        <is>
          <t>Research / Bio Summary</t>
        </is>
      </c>
      <c r="R1" s="1" t="inlineStr">
        <is>
          <t>Education / Degrees</t>
        </is>
      </c>
      <c r="S1" s="1" t="inlineStr">
        <is>
          <t>Google Scholar URL</t>
        </is>
      </c>
      <c r="T1" s="1" t="inlineStr">
        <is>
          <t>Scholar ID</t>
        </is>
      </c>
      <c r="U1" s="1" t="inlineStr">
        <is>
          <t>Profile URL</t>
        </is>
      </c>
      <c r="V1" s="1" t="inlineStr">
        <is>
          <t>Office Location</t>
        </is>
      </c>
      <c r="W1" s="1" t="inlineStr">
        <is>
          <t>Is Field Match</t>
        </is>
      </c>
      <c r="X1" s="1" t="inlineStr">
        <is>
          <t>Directory URL</t>
        </is>
      </c>
    </row>
    <row r="2">
      <c r="A2" s="2" t="inlineStr">
        <is>
          <t>Mohamed Houssem Kasbaoui</t>
        </is>
      </c>
      <c r="B2" s="2" t="inlineStr">
        <is>
          <t>Associate Professor</t>
        </is>
      </c>
      <c r="C2" s="3">
        <f>HYPERLINK("mailto:houssem.kasbaoui@asu.edu", "houssem.kasbaoui@asu.edu")</f>
        <v/>
      </c>
      <c r="D2" s="2" t="inlineStr">
        <is>
          <t>Arizona State University</t>
        </is>
      </c>
      <c r="E2" s="2" t="inlineStr">
        <is>
          <t>Aerospace &amp; Mechanical Engineering</t>
        </is>
      </c>
      <c r="F2" s="2" t="n">
        <v>8</v>
      </c>
      <c r="G2" s="2" t="inlineStr">
        <is>
          <t>aerospace, cfd, computational fluid dynamics, dns, fluid dynamics, fluid-structure interaction, multiphase flow, turbulent</t>
        </is>
      </c>
      <c r="H2" s="2" t="inlineStr"/>
      <c r="I2" s="2" t="inlineStr">
        <is>
          <t>Multiphase Flow and Fluid-Structure Interaction Group</t>
        </is>
      </c>
      <c r="J2" s="3">
        <f>HYPERLINK("https://kasbaoui.bitbucket.io", "https://kasbaoui.bitbucket.io")</f>
        <v/>
      </c>
      <c r="K2" s="2" t="inlineStr">
        <is>
          <t>CFD</t>
        </is>
      </c>
      <c r="L2" s="2" t="inlineStr">
        <is>
          <t>AFOSR</t>
        </is>
      </c>
      <c r="M2" s="2" t="inlineStr">
        <is>
          <t>https://bitbucket.org/krgasu/leap/downloads/leap-v0.8.2.tar.gz, https://bitbucket.org/krgasu/leap/src/master</t>
        </is>
      </c>
      <c r="N2" s="2" t="inlineStr">
        <is>
          <t>School for Engineering of Matter, Transport &amp; Energy</t>
        </is>
      </c>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3">
        <f>HYPERLINK("https://scholar.google.com/citations?view_op=search_authors&amp;mauthors=Mohamed%20Houssem%20Kasbaoui%20Arizona%20State%20University", "Google Scholar Search")</f>
        <v/>
      </c>
      <c r="T2" s="2" t="inlineStr"/>
      <c r="U2" s="3">
        <f>HYPERLINK("https://search.asu.edu/profile/mkasbaou", "https://search.asu.edu/profile/mkasbaou")</f>
        <v/>
      </c>
      <c r="V2" s="2" t="inlineStr">
        <is>
          <t>Campus: Tempe</t>
        </is>
      </c>
      <c r="W2" s="2" t="b">
        <v>1</v>
      </c>
      <c r="X2" s="3">
        <f>HYPERLINK("https://faculty.engineering.asu.edu/directory/semte/aerospace-and-mechanical-engineering/", "https://faculty.engineering.asu.edu/directory/semte/aerospace-and-mechanical-engineering/")</f>
        <v/>
      </c>
    </row>
    <row r="3">
      <c r="A3" s="2" t="inlineStr">
        <is>
          <t>Liping Wang</t>
        </is>
      </c>
      <c r="B3" s="2" t="inlineStr">
        <is>
          <t>Associate Professor</t>
        </is>
      </c>
      <c r="C3" s="3">
        <f>HYPERLINK("mailto:Liping.Wang@asu.edu", "Liping.Wang@asu.edu")</f>
        <v/>
      </c>
      <c r="D3" s="2" t="inlineStr">
        <is>
          <t>Arizona State University</t>
        </is>
      </c>
      <c r="E3" s="2" t="inlineStr">
        <is>
          <t>Aerospace &amp; Mechanical Engineering</t>
        </is>
      </c>
      <c r="F3" s="2" t="n">
        <v>7</v>
      </c>
      <c r="G3" s="2" t="inlineStr">
        <is>
          <t>aerospace, guidance, heat transfer, materials, metamaterials, radiation, thermal</t>
        </is>
      </c>
      <c r="H3" s="2" t="inlineStr">
        <is>
          <t>Multiple UG/MS research positions available for Fall 2024 (volunteer) and Spring/Summer 2025 (possible FURI / MORE support)</t>
        </is>
      </c>
      <c r="I3" s="2" t="inlineStr">
        <is>
          <t>Nanoscale Thermal Radiation Lab</t>
        </is>
      </c>
      <c r="J3" s="3">
        <f>HYPERLINK("http://faculty.engineering.asu.edu/lpwang", "http://faculty.engineering.asu.edu/lpwang")</f>
        <v/>
      </c>
      <c r="K3" s="2" t="inlineStr"/>
      <c r="L3" s="2" t="inlineStr">
        <is>
          <t>NASA, NSF</t>
        </is>
      </c>
      <c r="M3" s="2" t="inlineStr"/>
      <c r="N3" s="2" t="inlineStr">
        <is>
          <t>News&amp;Awards</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3">
        <f>HYPERLINK("https://scholar.google.com/citations?view_op=search_authors&amp;mauthors=Liping%20Wang%20Arizona%20State%20University", "Google Scholar Search")</f>
        <v/>
      </c>
      <c r="T3" s="2" t="inlineStr"/>
      <c r="U3" s="3">
        <f>HYPERLINK("https://search.asu.edu/profile/lwang78", "https://search.asu.edu/profile/lwang78")</f>
        <v/>
      </c>
      <c r="V3" s="2" t="inlineStr">
        <is>
          <t>ENGRC 327 (Tempe, AZ 85287-6106)</t>
        </is>
      </c>
      <c r="W3" s="2" t="b">
        <v>1</v>
      </c>
      <c r="X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3">
        <f>HYPERLINK("mailto:joswald1@asu.edu", "joswald1@asu.edu")</f>
        <v/>
      </c>
      <c r="D4" s="2" t="inlineStr">
        <is>
          <t>Arizona State University</t>
        </is>
      </c>
      <c r="E4" s="2" t="inlineStr">
        <is>
          <t>Aerospace &amp; Mechanical Engineering</t>
        </is>
      </c>
      <c r="F4" s="2" t="n">
        <v>6</v>
      </c>
      <c r="G4" s="2" t="inlineStr">
        <is>
          <t>estimation, finite element, materials, robot, robotics, solid mechanics</t>
        </is>
      </c>
      <c r="H4" s="2" t="inlineStr"/>
      <c r="I4" s="2" t="inlineStr">
        <is>
          <t>Computational Mechanics Lab</t>
        </is>
      </c>
      <c r="J4" s="3">
        <f>HYPERLINK("http://sparky.fulton.asu.edu/oswald/", "http://sparky.fulton.asu.edu/oswald/")</f>
        <v/>
      </c>
      <c r="K4" s="2" t="inlineStr"/>
      <c r="L4" s="2" t="inlineStr"/>
      <c r="M4" s="2" t="inlineStr"/>
      <c r="N4" s="2" t="inlineStr">
        <is>
          <t>Multiscale polymer analysis</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3">
        <f>HYPERLINK("https://scholar.google.com/citations?view_op=search_authors&amp;mauthors=Jay%20Oswald%20Arizona%20State%20University", "Google Scholar Search")</f>
        <v/>
      </c>
      <c r="T4" s="2" t="inlineStr"/>
      <c r="U4" s="3">
        <f>HYPERLINK("https://search.asu.edu/profile/joswald1", "https://search.asu.edu/profile/joswald1")</f>
        <v/>
      </c>
      <c r="V4" s="2" t="inlineStr">
        <is>
          <t>ENGRC 353 (Tempe, AZ 85287-6106)</t>
        </is>
      </c>
      <c r="W4" s="2" t="b">
        <v>1</v>
      </c>
      <c r="X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3">
        <f>HYPERLINK("mailto:Jiefeng.Sun@asu.edu", "Jiefeng.Sun@asu.edu")</f>
        <v/>
      </c>
      <c r="D5" s="2" t="inlineStr">
        <is>
          <t>Arizona State University</t>
        </is>
      </c>
      <c r="E5" s="2" t="inlineStr">
        <is>
          <t>Aerospace &amp; Mechanical Engineering</t>
        </is>
      </c>
      <c r="F5" s="2" t="n">
        <v>6</v>
      </c>
      <c r="G5" s="2" t="inlineStr">
        <is>
          <t>aerospace, autonomous, materials, robot, robotics, smart materials</t>
        </is>
      </c>
      <c r="H5" s="2" t="inlineStr">
        <is>
          <t>Dec 19, 2025 We have two openings for fully supported summer interns through SURI program at ASU</t>
        </is>
      </c>
      <c r="I5" s="2" t="inlineStr">
        <is>
          <t>Sun Robotics Lab</t>
        </is>
      </c>
      <c r="J5" s="3">
        <f>HYPERLINK("https://sunroboticslab.github.io", "https://sunroboticslab.github.io")</f>
        <v/>
      </c>
      <c r="K5" s="2" t="inlineStr"/>
      <c r="L5" s="2" t="inlineStr"/>
      <c r="M5" s="2" t="inlineStr"/>
      <c r="N5" s="2" t="inlineStr">
        <is>
          <t>Mission and Core Values</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3">
        <f>HYPERLINK("https://scholar.google.com/citations?hl=en&amp;user=fjUoHOsAAAAJ", "Scholar (fjUoHOsAAAAJ)")</f>
        <v/>
      </c>
      <c r="T5" s="2" t="inlineStr">
        <is>
          <t>fjUoHOsAAAAJ</t>
        </is>
      </c>
      <c r="U5" s="3">
        <f>HYPERLINK("https://search.asu.edu/profile/jsun165", "https://search.asu.edu/profile/jsun165")</f>
        <v/>
      </c>
      <c r="V5" s="2" t="inlineStr">
        <is>
          <t>Campus: Tempe</t>
        </is>
      </c>
      <c r="W5" s="2" t="b">
        <v>1</v>
      </c>
      <c r="X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3">
        <f>HYPERLINK("mailto:k.p.chen@asu.edu", "k.p.chen@asu.edu")</f>
        <v/>
      </c>
      <c r="D6" s="2" t="inlineStr">
        <is>
          <t>Arizona State University</t>
        </is>
      </c>
      <c r="E6" s="2" t="inlineStr">
        <is>
          <t>Aerospace &amp; Mechanical Engineering</t>
        </is>
      </c>
      <c r="F6" s="2" t="n">
        <v>6</v>
      </c>
      <c r="G6" s="2" t="inlineStr">
        <is>
          <t>aerospace, computational fluid dynamics, fluid dynamics, fluid mechanics, guidance, multiphase flow</t>
        </is>
      </c>
      <c r="H6" s="2" t="inlineStr"/>
      <c r="I6" s="2" t="inlineStr"/>
      <c r="J6" s="2" t="inlineStr"/>
      <c r="K6" s="2" t="inlineStr"/>
      <c r="L6" s="2" t="inlineStr"/>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3">
        <f>HYPERLINK("https://scholar.google.com/citations?hl=en&amp;user=xT-lX9sAAAAJ", "Scholar (xT-lX9sAAAAJ)")</f>
        <v/>
      </c>
      <c r="T6" s="2" t="inlineStr">
        <is>
          <t>xT-lX9sAAAAJ</t>
        </is>
      </c>
      <c r="U6" s="3">
        <f>HYPERLINK("https://search.asu.edu/profile/asuchen", "https://search.asu.edu/profile/asuchen")</f>
        <v/>
      </c>
      <c r="V6" s="2" t="inlineStr">
        <is>
          <t>ENGRC 361 (TEMPE, AZ 85287-6106)</t>
        </is>
      </c>
      <c r="W6" s="2" t="b">
        <v>1</v>
      </c>
      <c r="X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3">
        <f>HYPERLINK("mailto:Kiran.Ramesh@asu.edu", "Kiran.Ramesh@asu.edu")</f>
        <v/>
      </c>
      <c r="D7" s="2" t="inlineStr">
        <is>
          <t>Arizona State University</t>
        </is>
      </c>
      <c r="E7" s="2" t="inlineStr">
        <is>
          <t>Aerospace &amp; Mechanical Engineering</t>
        </is>
      </c>
      <c r="F7" s="2" t="n">
        <v>6</v>
      </c>
      <c r="G7" s="2" t="inlineStr">
        <is>
          <t>aerodynamics, aerospace, flow control, fluid dynamics, turbulence, vortex dynamics</t>
        </is>
      </c>
      <c r="H7" s="2" t="inlineStr"/>
      <c r="I7" s="2" t="inlineStr"/>
      <c r="J7" s="2" t="inlineStr"/>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3">
        <f>HYPERLINK("https://scholar.google.com/citations?hl=en&amp;user=DKc-AgcAAAAJ", "Scholar (DKc-AgcAAAAJ)")</f>
        <v/>
      </c>
      <c r="T7" s="2" t="inlineStr">
        <is>
          <t>DKc-AgcAAAAJ</t>
        </is>
      </c>
      <c r="U7" s="3">
        <f>HYPERLINK("https://search.asu.edu/profile/kramesh2", "https://search.asu.edu/profile/kramesh2")</f>
        <v/>
      </c>
      <c r="V7" s="2" t="inlineStr"/>
      <c r="W7" s="2" t="b">
        <v>1</v>
      </c>
      <c r="X7" s="3">
        <f>HYPERLINK("https://faculty.engineering.asu.edu/directory/semte/aerospace-and-mechanical-engineering/", "https://faculty.engineering.asu.edu/directory/semte/aerospace-and-mechanical-engineering/")</f>
        <v/>
      </c>
    </row>
    <row r="8">
      <c r="A8" s="2" t="inlineStr">
        <is>
          <t>Kunal Garg</t>
        </is>
      </c>
      <c r="B8" s="2" t="inlineStr">
        <is>
          <t>Assistant Professor</t>
        </is>
      </c>
      <c r="C8" s="3">
        <f>HYPERLINK("mailto:kgarg24@asu.edu", "kgarg24@asu.edu")</f>
        <v/>
      </c>
      <c r="D8" s="2" t="inlineStr">
        <is>
          <t>Arizona State University</t>
        </is>
      </c>
      <c r="E8" s="2" t="inlineStr">
        <is>
          <t>Aerospace &amp; Mechanical Engineering</t>
        </is>
      </c>
      <c r="F8" s="2" t="n">
        <v>6</v>
      </c>
      <c r="G8" s="2" t="inlineStr">
        <is>
          <t>aerospace, autonomous, control theory, motion planning, robot, robotics</t>
        </is>
      </c>
      <c r="H8" s="2" t="inlineStr">
        <is>
          <t>Actively seeking graduate students (see bio/lab link)</t>
        </is>
      </c>
      <c r="I8" s="2" t="inlineStr">
        <is>
          <t>Safe and Autonomous Robotics (STAR) Lab</t>
        </is>
      </c>
      <c r="J8" s="3">
        <f>HYPERLINK("https://sites.google.com/asu.edu/kunalgarg/", "https://sites.google.com/asu.edu/kunalgarg/")</f>
        <v/>
      </c>
      <c r="K8" s="2" t="inlineStr">
        <is>
          <t>Python, PyTorch, ROS, ROS2, C/C++, Linear Algebra</t>
        </is>
      </c>
      <c r="L8" s="2" t="inlineStr"/>
      <c r="M8" s="2" t="inlineStr"/>
      <c r="N8" s="2" t="inlineStr"/>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3">
        <f>HYPERLINK("https://scholar.google.com/citations?hl=en&amp;user=vs3pl-8AAAAJ", "Scholar (vs3pl-8AAAAJ)")</f>
        <v/>
      </c>
      <c r="T8" s="2" t="inlineStr">
        <is>
          <t>vs3pl-8AAAAJ</t>
        </is>
      </c>
      <c r="U8" s="3">
        <f>HYPERLINK("https://search.asu.edu/profile/kgarg24", "https://search.asu.edu/profile/kgarg24")</f>
        <v/>
      </c>
      <c r="V8" s="2" t="inlineStr">
        <is>
          <t>551 E Tyler Mall ERC 475 (Tempe, AZ 85281)</t>
        </is>
      </c>
      <c r="W8" s="2" t="b">
        <v>1</v>
      </c>
      <c r="X8" s="3">
        <f>HYPERLINK("https://faculty.engineering.asu.edu/directory/semte/aerospace-and-mechanical-engineering/", "https://faculty.engineering.asu.edu/directory/semte/aerospace-and-mechanical-engineering/")</f>
        <v/>
      </c>
    </row>
    <row r="9">
      <c r="A9" s="2" t="inlineStr">
        <is>
          <t>Leixin Ma</t>
        </is>
      </c>
      <c r="B9" s="2" t="inlineStr">
        <is>
          <t>Assistant Professor</t>
        </is>
      </c>
      <c r="C9" s="3">
        <f>HYPERLINK("mailto:Leixin.Ma@asu.edu", "Leixin.Ma@asu.edu")</f>
        <v/>
      </c>
      <c r="D9" s="2" t="inlineStr">
        <is>
          <t>Arizona State University</t>
        </is>
      </c>
      <c r="E9" s="2" t="inlineStr">
        <is>
          <t>Aerospace &amp; Mechanical Engineering</t>
        </is>
      </c>
      <c r="F9" s="2" t="n">
        <v>6</v>
      </c>
      <c r="G9" s="2" t="inlineStr">
        <is>
          <t>aerodynamics, aerospace, fluid-structure interaction, fluids, materials, robot</t>
        </is>
      </c>
      <c r="H9" s="2" t="inlineStr">
        <is>
          <t>Actively recruiting / Openings mentioned on lab site</t>
        </is>
      </c>
      <c r="I9" s="2" t="inlineStr">
        <is>
          <t>Optimization, Autonomy, and Soft Intelligence Systems (OASIS) Lab</t>
        </is>
      </c>
      <c r="J9" s="3">
        <f>HYPERLINK("https://sites.google.com/view/oasislabasu", "https://sites.google.com/view/oasislabasu")</f>
        <v/>
      </c>
      <c r="K9" s="2" t="inlineStr"/>
      <c r="L9" s="2" t="inlineStr"/>
      <c r="M9" s="2" t="inlineStr"/>
      <c r="N9" s="2" t="inlineStr">
        <is>
          <t>Ocean and Soft Intelligent Structure Interaction Lab</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3">
        <f>HYPERLINK("https://scholar.google.com/citations?hl=en&amp;user=2xQTOc0AAAAJ", "Scholar (2xQTOc0AAAAJ)")</f>
        <v/>
      </c>
      <c r="T9" s="2" t="inlineStr">
        <is>
          <t>2xQTOc0AAAAJ</t>
        </is>
      </c>
      <c r="U9" s="3">
        <f>HYPERLINK("https://search.asu.edu/profile/leixinma", "https://search.asu.edu/profile/leixinma")</f>
        <v/>
      </c>
      <c r="V9" s="2" t="inlineStr"/>
      <c r="W9" s="2" t="b">
        <v>1</v>
      </c>
      <c r="X9" s="3">
        <f>HYPERLINK("https://faculty.engineering.asu.edu/directory/semte/aerospace-and-mechanical-engineering/", "https://faculty.engineering.asu.edu/directory/semte/aerospace-and-mechanical-engineering/")</f>
        <v/>
      </c>
    </row>
    <row r="10">
      <c r="A10" s="2" t="inlineStr">
        <is>
          <t>Gokul Pathikonda</t>
        </is>
      </c>
      <c r="B10" s="2" t="inlineStr">
        <is>
          <t>Assistant Professor</t>
        </is>
      </c>
      <c r="C10" s="3">
        <f>HYPERLINK("mailto:Gokul.Pathikonda@asu.edu", "Gokul.Pathikonda@asu.edu")</f>
        <v/>
      </c>
      <c r="D10" s="2" t="inlineStr">
        <is>
          <t>Arizona State University</t>
        </is>
      </c>
      <c r="E10" s="2" t="inlineStr">
        <is>
          <t>Aerospace &amp; Mechanical Engineering</t>
        </is>
      </c>
      <c r="F10" s="2" t="n">
        <v>5</v>
      </c>
      <c r="G10" s="2" t="inlineStr">
        <is>
          <t>aerodynamics, aerospace, reacting flow, turbulence, turbulent</t>
        </is>
      </c>
      <c r="H10" s="2" t="inlineStr"/>
      <c r="I10" s="2" t="inlineStr"/>
      <c r="J10" s="3">
        <f>HYPERLINK("https://faculty.engineering.asu.edu/cmat/", "https://faculty.engineering.asu.edu/cmat/")</f>
        <v/>
      </c>
      <c r="K10" s="2" t="inlineStr"/>
      <c r="L10" s="2" t="inlineStr"/>
      <c r="M10" s="2" t="inlineStr"/>
      <c r="N10" s="2" t="inlineStr">
        <is>
          <t>Want to be part of CMAT Lab?</t>
        </is>
      </c>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3">
        <f>HYPERLINK("https://scholar.google.com/citations?view_op=search_authors&amp;mauthors=Gokul%20Pathikonda%20Arizona%20State%20University", "Google Scholar Search")</f>
        <v/>
      </c>
      <c r="T10" s="2" t="inlineStr"/>
      <c r="U10" s="3">
        <f>HYPERLINK("https://search.asu.edu/profile/gpathiko", "https://search.asu.edu/profile/gpathiko")</f>
        <v/>
      </c>
      <c r="V10" s="2" t="inlineStr">
        <is>
          <t>551 E Tyler Mall ERC 479 (Tempe, AZ 85281)</t>
        </is>
      </c>
      <c r="W10" s="2" t="b">
        <v>1</v>
      </c>
      <c r="X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3">
        <f>HYPERLINK("mailto:Marcus.Herrmann@asu.edu", "Marcus.Herrmann@asu.edu")</f>
        <v/>
      </c>
      <c r="D11" s="2" t="inlineStr">
        <is>
          <t>Arizona State University</t>
        </is>
      </c>
      <c r="E11" s="2" t="inlineStr">
        <is>
          <t>Aerospace &amp; Mechanical Engineering</t>
        </is>
      </c>
      <c r="F11" s="2" t="n">
        <v>5</v>
      </c>
      <c r="G11" s="2" t="inlineStr">
        <is>
          <t>aerospace, fluid mechanics, multiphase flow, turbulence, turbulent</t>
        </is>
      </c>
      <c r="H11" s="2" t="inlineStr"/>
      <c r="I11" s="2" t="inlineStr">
        <is>
          <t>Computational Multiphase Physics Laboratory</t>
        </is>
      </c>
      <c r="J11" s="2" t="inlineStr"/>
      <c r="K11" s="2" t="inlineStr"/>
      <c r="L11" s="2" t="inlineStr"/>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3">
        <f>HYPERLINK("https://scholar.google.com/citations?hl=en&amp;user=yv6aCW8AAAAJ", "Scholar (yv6aCW8AAAAJ)")</f>
        <v/>
      </c>
      <c r="T11" s="2" t="inlineStr">
        <is>
          <t>yv6aCW8AAAAJ</t>
        </is>
      </c>
      <c r="U11" s="3">
        <f>HYPERLINK("https://search.asu.edu/profile/mherrma1", "https://search.asu.edu/profile/mherrma1")</f>
        <v/>
      </c>
      <c r="V11" s="2" t="inlineStr"/>
      <c r="W11" s="2" t="b">
        <v>1</v>
      </c>
      <c r="X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3">
        <f>HYPERLINK("mailto:Spring.Berman@asu.edu", "Spring.Berman@asu.edu")</f>
        <v/>
      </c>
      <c r="D12" s="2" t="inlineStr">
        <is>
          <t>Arizona State University</t>
        </is>
      </c>
      <c r="E12" s="2" t="inlineStr">
        <is>
          <t>Aerospace &amp; Mechanical Engineering</t>
        </is>
      </c>
      <c r="F12" s="2" t="n">
        <v>5</v>
      </c>
      <c r="G12" s="2" t="inlineStr">
        <is>
          <t>aerospace, autonomous, control theory, robot, robotics</t>
        </is>
      </c>
      <c r="H12" s="2" t="inlineStr"/>
      <c r="I12" s="2" t="inlineStr">
        <is>
          <t>Autonomous Collective Systems (ACS) Laboratory</t>
        </is>
      </c>
      <c r="J12" s="3">
        <f>HYPERLINK("http://faculty.engineering.asu.edu/acs/", "http://faculty.engineering.asu.edu/acs/")</f>
        <v/>
      </c>
      <c r="K12" s="2" t="inlineStr"/>
      <c r="L12" s="2" t="inlineStr"/>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3">
        <f>HYPERLINK("https://scholar.google.com/citations?hl=en&amp;user=KKup0OgAAAAJ", "Scholar (KKup0OgAAAAJ)")</f>
        <v/>
      </c>
      <c r="T12" s="2" t="inlineStr">
        <is>
          <t>KKup0OgAAAAJ</t>
        </is>
      </c>
      <c r="U12" s="3">
        <f>HYPERLINK("https://search.asu.edu/profile/smberma2", "https://search.asu.edu/profile/smberma2")</f>
        <v/>
      </c>
      <c r="V12" s="2" t="inlineStr">
        <is>
          <t>ENGRC 375 (Tempe, AZ 85287-6106)</t>
        </is>
      </c>
      <c r="W12" s="2" t="b">
        <v>1</v>
      </c>
      <c r="X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3">
        <f>HYPERLINK("mailto:xzhe1@asu.edu", "xzhe1@asu.edu")</f>
        <v/>
      </c>
      <c r="D13" s="2" t="inlineStr">
        <is>
          <t>Arizona State University</t>
        </is>
      </c>
      <c r="E13" s="2" t="inlineStr">
        <is>
          <t>Aerospace &amp; Mechanical Engineering</t>
        </is>
      </c>
      <c r="F13" s="2" t="n">
        <v>5</v>
      </c>
      <c r="G13" s="2" t="inlineStr">
        <is>
          <t>autonomous, control theory, energy systems, robot, robotics</t>
        </is>
      </c>
      <c r="H13" s="2" t="inlineStr"/>
      <c r="I13" s="2" t="inlineStr"/>
      <c r="J13" s="3">
        <f>HYPERLINK("https://sites.google.com/site/zhexudavid00710/research?authuser=0", "https://sites.google.com/site/zhexudavid00710/research?authuser=0")</f>
        <v/>
      </c>
      <c r="K13" s="2" t="inlineStr"/>
      <c r="L13" s="2" t="inlineStr"/>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3">
        <f>HYPERLINK("https://scholar.google.com/citations?view_op=search_authors&amp;mauthors=Zhe%20Xu%20Arizona%20State%20University", "Google Scholar Search")</f>
        <v/>
      </c>
      <c r="T13" s="2" t="inlineStr"/>
      <c r="U13" s="3">
        <f>HYPERLINK("https://search.asu.edu/profile/xzhe1", "https://search.asu.edu/profile/xzhe1")</f>
        <v/>
      </c>
      <c r="V13" s="2" t="inlineStr">
        <is>
          <t>Campus: Tempe</t>
        </is>
      </c>
      <c r="W13" s="2" t="b">
        <v>1</v>
      </c>
      <c r="X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3">
        <f>HYPERLINK("mailto:jeokim@asu.edu", "jeokim@asu.edu")</f>
        <v/>
      </c>
      <c r="D14" s="2" t="inlineStr">
        <is>
          <t>Arizona State University</t>
        </is>
      </c>
      <c r="E14" s="2" t="inlineStr">
        <is>
          <t>Aerospace &amp; Mechanical Engineering</t>
        </is>
      </c>
      <c r="F14" s="2" t="n">
        <v>4</v>
      </c>
      <c r="G14" s="2" t="inlineStr">
        <is>
          <t>aerospace, flow control, turbulence, turbulent</t>
        </is>
      </c>
      <c r="H14" s="2" t="inlineStr"/>
      <c r="I14" s="2" t="inlineStr"/>
      <c r="J14" s="2" t="inlineStr"/>
      <c r="K14" s="2" t="inlineStr"/>
      <c r="L14" s="2" t="inlineStr"/>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3">
        <f>HYPERLINK("https://scholar.google.com/citations?view_op=search_authors&amp;mauthors=Jeonglae%20Kim%20Arizona%20State%20University", "Google Scholar Search")</f>
        <v/>
      </c>
      <c r="T14" s="2" t="inlineStr"/>
      <c r="U14" s="3">
        <f>HYPERLINK("https://search.asu.edu/profile/jkim520", "https://search.asu.edu/profile/jkim520")</f>
        <v/>
      </c>
      <c r="V14" s="2" t="inlineStr">
        <is>
          <t>Campus: Tempe</t>
        </is>
      </c>
      <c r="W14" s="2" t="b">
        <v>1</v>
      </c>
      <c r="X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3">
        <f>HYPERLINK("mailto:mpeet@asu.edu", "mpeet@asu.edu")</f>
        <v/>
      </c>
      <c r="D15" s="2" t="inlineStr">
        <is>
          <t>Arizona State University</t>
        </is>
      </c>
      <c r="E15" s="2" t="inlineStr">
        <is>
          <t>Aerospace &amp; Mechanical Engineering</t>
        </is>
      </c>
      <c r="F15" s="2" t="n">
        <v>4</v>
      </c>
      <c r="G15" s="2" t="inlineStr">
        <is>
          <t>aerospace, materials, spacecraft, system dynamics</t>
        </is>
      </c>
      <c r="H15" s="2" t="inlineStr"/>
      <c r="I15" s="2" t="inlineStr">
        <is>
          <t>Cybernetic Systems and Controls Laboratory (CSCL)</t>
        </is>
      </c>
      <c r="J15" s="3">
        <f>HYPERLINK("http://control.asu.edu/", "http://control.asu.edu/")</f>
        <v/>
      </c>
      <c r="K15" s="2" t="inlineStr"/>
      <c r="L15" s="2" t="inlineStr"/>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3">
        <f>HYPERLINK("https://scholar.google.com/citations?view_op=search_authors&amp;mauthors=Matthew%20Peet%20Arizona%20State%20University", "Google Scholar Search")</f>
        <v/>
      </c>
      <c r="T15" s="2" t="inlineStr"/>
      <c r="U15" s="3">
        <f>HYPERLINK("https://search.asu.edu/profile/mpeet", "https://search.asu.edu/profile/mpeet")</f>
        <v/>
      </c>
      <c r="V15" s="2" t="inlineStr"/>
      <c r="W15" s="2" t="b">
        <v>1</v>
      </c>
      <c r="X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3">
        <f>HYPERLINK("mailto:rywang@asu.edu", "rywang@asu.edu")</f>
        <v/>
      </c>
      <c r="D16" s="2" t="inlineStr">
        <is>
          <t>Arizona State University</t>
        </is>
      </c>
      <c r="E16" s="2" t="inlineStr">
        <is>
          <t>Aerospace &amp; Mechanical Engineering</t>
        </is>
      </c>
      <c r="F16" s="2" t="n">
        <v>4</v>
      </c>
      <c r="G16" s="2" t="inlineStr">
        <is>
          <t>composites, heat transfer, materials, thermal</t>
        </is>
      </c>
      <c r="H16" s="2" t="inlineStr"/>
      <c r="I16" s="2" t="inlineStr"/>
      <c r="J16" s="3">
        <f>HYPERLINK("http://wang.faculty.asu.edu/", "http://wang.faculty.asu.edu/")</f>
        <v/>
      </c>
      <c r="K16" s="2" t="inlineStr"/>
      <c r="L16" s="2" t="inlineStr"/>
      <c r="M16" s="2" t="inlineStr"/>
      <c r="N16" s="2" t="inlineStr">
        <is>
          <t>Thermal Energy &amp; Nanomaterials Lab</t>
        </is>
      </c>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3">
        <f>HYPERLINK("https://scholar.google.com/citations?hl=en&amp;user=LaUdx9gAAAAJ", "Scholar (LaUdx9gAAAAJ)")</f>
        <v/>
      </c>
      <c r="T16" s="2" t="inlineStr">
        <is>
          <t>LaUdx9gAAAAJ</t>
        </is>
      </c>
      <c r="U16" s="3">
        <f>HYPERLINK("https://search.asu.edu/profile/rywang", "https://search.asu.edu/profile/rywang")</f>
        <v/>
      </c>
      <c r="V16" s="2" t="inlineStr">
        <is>
          <t>ENGRC 307 (Tempe, AZ 85287-6106)</t>
        </is>
      </c>
      <c r="W16" s="2" t="b">
        <v>1</v>
      </c>
      <c r="X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3">
        <f>HYPERLINK("mailto:Ryan.Milcarek@asu.edu", "Ryan.Milcarek@asu.edu")</f>
        <v/>
      </c>
      <c r="D17" s="2" t="inlineStr">
        <is>
          <t>Arizona State University</t>
        </is>
      </c>
      <c r="E17" s="2" t="inlineStr">
        <is>
          <t>Aerospace &amp; Mechanical Engineering</t>
        </is>
      </c>
      <c r="F17" s="2" t="n">
        <v>4</v>
      </c>
      <c r="G17" s="2" t="inlineStr">
        <is>
          <t>aerospace, combustion, energy systems, materials</t>
        </is>
      </c>
      <c r="H17" s="2" t="inlineStr"/>
      <c r="I17" s="2" t="inlineStr"/>
      <c r="J17" s="3">
        <f>HYPERLINK("http://RESEARCHGATE.net/profile/Ryan_Milcarek", "http://RESEARCHGATE.net/profile/Ryan_Milcarek")</f>
        <v/>
      </c>
      <c r="K17" s="2" t="inlineStr"/>
      <c r="L17" s="2" t="inlineStr"/>
      <c r="M17" s="2" t="inlineStr"/>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3">
        <f>HYPERLINK("https://scholar.google.com/citations?hl=en&amp;user=m-Pb6g2pm2UC", "Scholar (m-Pb6g2pm2UC)")</f>
        <v/>
      </c>
      <c r="T17" s="2" t="inlineStr">
        <is>
          <t>m-Pb6g2pm2UC</t>
        </is>
      </c>
      <c r="U17" s="3">
        <f>HYPERLINK("https://search.asu.edu/profile/rjmilcar", "https://search.asu.edu/profile/rjmilcar")</f>
        <v/>
      </c>
      <c r="V17" s="2" t="inlineStr">
        <is>
          <t>ENGRC 465 (Tempe, AZ 85287)</t>
        </is>
      </c>
      <c r="W17" s="2" t="b">
        <v>1</v>
      </c>
      <c r="X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3">
        <f>HYPERLINK("mailto:ATTWL@asu.edu", "ATTWL@asu.edu")</f>
        <v/>
      </c>
      <c r="D18" s="2" t="inlineStr">
        <is>
          <t>Arizona State University</t>
        </is>
      </c>
      <c r="E18" s="2" t="inlineStr">
        <is>
          <t>Aerospace &amp; Mechanical Engineering</t>
        </is>
      </c>
      <c r="F18" s="2" t="n">
        <v>4</v>
      </c>
      <c r="G18" s="2" t="inlineStr">
        <is>
          <t>aerospace, energy systems, propulsion, thermal</t>
        </is>
      </c>
      <c r="H18" s="2" t="inlineStr"/>
      <c r="I18" s="2" t="inlineStr"/>
      <c r="J18" s="2" t="inlineStr"/>
      <c r="K18" s="2" t="inlineStr"/>
      <c r="L18" s="2" t="inlineStr"/>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3">
        <f>HYPERLINK("https://scholar.google.com/citations?view_op=search_authors&amp;mauthors=T.-W.%20Lee%20Arizona%20State%20University", "Google Scholar Search")</f>
        <v/>
      </c>
      <c r="T18" s="2" t="inlineStr"/>
      <c r="U18" s="3">
        <f>HYPERLINK("https://search.asu.edu/profile/attwl", "https://search.asu.edu/profile/attwl")</f>
        <v/>
      </c>
      <c r="V18" s="2" t="inlineStr">
        <is>
          <t>ENGRC 377 (TEMPE, AZ 85287-6106)</t>
        </is>
      </c>
      <c r="W18" s="2" t="b">
        <v>1</v>
      </c>
      <c r="X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3">
        <f>HYPERLINK("mailto:Tianyu.Yang@asu.edu", "Tianyu.Yang@asu.edu")</f>
        <v/>
      </c>
      <c r="D19" s="2" t="inlineStr">
        <is>
          <t>Arizona State University</t>
        </is>
      </c>
      <c r="E19" s="2" t="inlineStr">
        <is>
          <t>Aerospace &amp; Mechanical Engineering</t>
        </is>
      </c>
      <c r="F19" s="2" t="n">
        <v>4</v>
      </c>
      <c r="G19" s="2" t="inlineStr">
        <is>
          <t>autonomous, heat transfer, materials, thermal</t>
        </is>
      </c>
      <c r="H19" s="2" t="inlineStr"/>
      <c r="I19" s="2" t="inlineStr"/>
      <c r="J19" s="2" t="inlineStr"/>
      <c r="K19" s="2" t="inlineStr"/>
      <c r="L19" s="2" t="inlineStr"/>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3">
        <f>HYPERLINK("https://scholar.google.com/citations?hl=en&amp;user=OmBV67MAAAAJ", "Scholar (OmBV67MAAAAJ)")</f>
        <v/>
      </c>
      <c r="T19" s="2" t="inlineStr">
        <is>
          <t>OmBV67MAAAAJ</t>
        </is>
      </c>
      <c r="U19" s="3">
        <f>HYPERLINK("https://search.asu.edu/profile/tyang123", "https://search.asu.edu/profile/tyang123")</f>
        <v/>
      </c>
      <c r="V19" s="2" t="inlineStr">
        <is>
          <t>Campus: Tempe</t>
        </is>
      </c>
      <c r="W19" s="2" t="b">
        <v>1</v>
      </c>
      <c r="X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3">
        <f>HYPERLINK("mailto:aditi@asu.edu", "aditi@asu.edu")</f>
        <v/>
      </c>
      <c r="D20" s="2" t="inlineStr">
        <is>
          <t>Arizona State University</t>
        </is>
      </c>
      <c r="E20" s="2" t="inlineStr">
        <is>
          <t>Aerospace &amp; Mechanical Engineering</t>
        </is>
      </c>
      <c r="F20" s="2" t="n">
        <v>3</v>
      </c>
      <c r="G20" s="2" t="inlineStr">
        <is>
          <t>aerospace, materials, structural health monitoring</t>
        </is>
      </c>
      <c r="H20" s="2" t="inlineStr"/>
      <c r="I20" s="2" t="inlineStr">
        <is>
          <t>Adaptive Intelligent Materials &amp; Systems (AIMS) Center</t>
        </is>
      </c>
      <c r="J20" s="2" t="inlineStr"/>
      <c r="K20" s="2" t="inlineStr"/>
      <c r="L20" s="2" t="inlineStr"/>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3">
        <f>HYPERLINK("https://scholar.google.com/citations?hl=en&amp;user=w3fU9E0AAAAJ", "Scholar (w3fU9E0AAAAJ)")</f>
        <v/>
      </c>
      <c r="T20" s="2" t="inlineStr">
        <is>
          <t>w3fU9E0AAAAJ</t>
        </is>
      </c>
      <c r="U20" s="3">
        <f>HYPERLINK("https://search.asu.edu/profile/chattopa", "https://search.asu.edu/profile/chattopa")</f>
        <v/>
      </c>
      <c r="V20" s="2" t="inlineStr">
        <is>
          <t>ENGRC 427 (TEMPE, AZ 85287-6106)</t>
        </is>
      </c>
      <c r="W20" s="2" t="b">
        <v>1</v>
      </c>
      <c r="X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3">
        <f>HYPERLINK("mailto:Alberto.Scotti@asu.edu", "Alberto.Scotti@asu.edu")</f>
        <v/>
      </c>
      <c r="D21" s="2" t="inlineStr">
        <is>
          <t>Arizona State University</t>
        </is>
      </c>
      <c r="E21" s="2" t="inlineStr">
        <is>
          <t>Aerospace &amp; Mechanical Engineering</t>
        </is>
      </c>
      <c r="F21" s="2" t="n">
        <v>3</v>
      </c>
      <c r="G21" s="2" t="inlineStr">
        <is>
          <t>fluid mechanics, fluids, turbulent</t>
        </is>
      </c>
      <c r="H21" s="2" t="inlineStr"/>
      <c r="I21" s="2" t="inlineStr"/>
      <c r="J21" s="2" t="inlineStr"/>
      <c r="K21" s="2" t="inlineStr"/>
      <c r="L21" s="2" t="inlineStr"/>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3">
        <f>HYPERLINK("https://scholar.google.com/citations?hl=en&amp;user=HRx2lJQAAAAJ", "Scholar (HRx2lJQAAAAJ)")</f>
        <v/>
      </c>
      <c r="T21" s="2" t="inlineStr">
        <is>
          <t>HRx2lJQAAAAJ</t>
        </is>
      </c>
      <c r="U21" s="3">
        <f>HYPERLINK("https://search.asu.edu/profile/adscotti", "https://search.asu.edu/profile/adscotti")</f>
        <v/>
      </c>
      <c r="V21" s="2" t="inlineStr">
        <is>
          <t>Campus: Tempe</t>
        </is>
      </c>
      <c r="W21" s="2" t="b">
        <v>1</v>
      </c>
      <c r="X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3">
        <f>HYPERLINK("mailto:kwon@asu.edu", "kwon@asu.edu")</f>
        <v/>
      </c>
      <c r="D22" s="2" t="inlineStr">
        <is>
          <t>Arizona State University</t>
        </is>
      </c>
      <c r="E22" s="2" t="inlineStr">
        <is>
          <t>Aerospace &amp; Mechanical Engineering</t>
        </is>
      </c>
      <c r="F22" s="2" t="n">
        <v>3</v>
      </c>
      <c r="G22" s="2" t="inlineStr">
        <is>
          <t>aerospace, energy systems, heat transfer</t>
        </is>
      </c>
      <c r="H22" s="2" t="inlineStr"/>
      <c r="I22" s="2" t="inlineStr">
        <is>
          <t>3D Energy Lab</t>
        </is>
      </c>
      <c r="J22" s="3">
        <f>HYPERLINK("http://sites.google.com/view/3denergy", "http://sites.google.com/view/3denergy")</f>
        <v/>
      </c>
      <c r="K22" s="2" t="inlineStr"/>
      <c r="L22" s="2" t="inlineStr">
        <is>
          <t>NSF</t>
        </is>
      </c>
      <c r="M22" s="2" t="inlineStr"/>
      <c r="N22" s="2" t="inlineStr">
        <is>
          <t>3D Energy Device Laboratory</t>
        </is>
      </c>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3">
        <f>HYPERLINK("https://scholar.google.com/citations?hl=en&amp;user=fs2d97sAAAAJ", "Scholar (fs2d97sAAAAJ)")</f>
        <v/>
      </c>
      <c r="T22" s="2" t="inlineStr">
        <is>
          <t>fs2d97sAAAAJ</t>
        </is>
      </c>
      <c r="U22" s="3">
        <f>HYPERLINK("https://search.asu.edu/profile/bkwon2", "https://search.asu.edu/profile/bkwon2")</f>
        <v/>
      </c>
      <c r="V22" s="2" t="inlineStr">
        <is>
          <t>551 E Tyler Mall ERC 363 (Tempe, AZ 85281)</t>
        </is>
      </c>
      <c r="W22" s="2" t="b">
        <v>1</v>
      </c>
      <c r="X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3">
        <f>HYPERLINK("mailto:hmarvi@asu.edu", "hmarvi@asu.edu")</f>
        <v/>
      </c>
      <c r="D23" s="2" t="inlineStr">
        <is>
          <t>Arizona State University</t>
        </is>
      </c>
      <c r="E23" s="2" t="inlineStr">
        <is>
          <t>Aerospace &amp; Mechanical Engineering</t>
        </is>
      </c>
      <c r="F23" s="2" t="n">
        <v>3</v>
      </c>
      <c r="G23" s="2" t="inlineStr">
        <is>
          <t>aerospace, robot, robotics</t>
        </is>
      </c>
      <c r="H23" s="2" t="inlineStr"/>
      <c r="I23" s="2" t="inlineStr">
        <is>
          <t>Bio-Inspired Robotics, Technology, and Healthcare Laboratory (BIRTH Lab)</t>
        </is>
      </c>
      <c r="J23" s="3">
        <f>HYPERLINK("http://birth.asu.edu", "http://birth.asu.edu")</f>
        <v/>
      </c>
      <c r="K23" s="2" t="inlineStr"/>
      <c r="L23" s="2" t="inlineStr"/>
      <c r="M23" s="2" t="inlineStr"/>
      <c r="N23" s="2" t="inlineStr">
        <is>
          <t>Latest News</t>
        </is>
      </c>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3">
        <f>HYPERLINK("https://scholar.google.com/citations?hl=en&amp;user=00Fepb0AAAAJ", "Scholar (00Fepb0AAAAJ)")</f>
        <v/>
      </c>
      <c r="T23" s="2" t="inlineStr">
        <is>
          <t>00Fepb0AAAAJ</t>
        </is>
      </c>
      <c r="U23" s="3">
        <f>HYPERLINK("https://search.asu.edu/profile/hmarvi", "https://search.asu.edu/profile/hmarvi")</f>
        <v/>
      </c>
      <c r="V23" s="2" t="inlineStr">
        <is>
          <t>Campus: Tempe</t>
        </is>
      </c>
      <c r="W23" s="2" t="b">
        <v>1</v>
      </c>
      <c r="X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3">
        <f>HYPERLINK("mailto:Hyunglae.Lee@asu.edu", "Hyunglae.Lee@asu.edu")</f>
        <v/>
      </c>
      <c r="D24" s="2" t="inlineStr">
        <is>
          <t>Arizona State University</t>
        </is>
      </c>
      <c r="E24" s="2" t="inlineStr">
        <is>
          <t>Aerospace &amp; Mechanical Engineering</t>
        </is>
      </c>
      <c r="F24" s="2" t="n">
        <v>3</v>
      </c>
      <c r="G24" s="2" t="inlineStr">
        <is>
          <t>aerospace, robot, robotics</t>
        </is>
      </c>
      <c r="H24" s="2" t="inlineStr"/>
      <c r="I24" s="2" t="inlineStr"/>
      <c r="J24" s="3">
        <f>HYPERLINK("https://faculty.engineering.asu.edu/hlee", "https://faculty.engineering.asu.edu/hlee")</f>
        <v/>
      </c>
      <c r="K24" s="2" t="inlineStr"/>
      <c r="L24" s="2" t="inlineStr"/>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3">
        <f>HYPERLINK("https://scholar.google.com/citations?view_op=search_authors&amp;mauthors=Hyunglae%20Lee%20Arizona%20State%20University", "Google Scholar Search")</f>
        <v/>
      </c>
      <c r="T24" s="2" t="inlineStr"/>
      <c r="U24" s="3">
        <f>HYPERLINK("https://search.asu.edu/profile/hlee234", "https://search.asu.edu/profile/hlee234")</f>
        <v/>
      </c>
      <c r="V24" s="2" t="inlineStr">
        <is>
          <t>Campus: Tempe</t>
        </is>
      </c>
      <c r="W24" s="2" t="b">
        <v>1</v>
      </c>
      <c r="X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3">
        <f>HYPERLINK("mailto:ladani@asu.edu", "ladani@asu.edu")</f>
        <v/>
      </c>
      <c r="D25" s="2" t="inlineStr">
        <is>
          <t>Arizona State University</t>
        </is>
      </c>
      <c r="E25" s="2" t="inlineStr">
        <is>
          <t>Aerospace &amp; Mechanical Engineering</t>
        </is>
      </c>
      <c r="F25" s="2" t="n">
        <v>3</v>
      </c>
      <c r="G25" s="2" t="inlineStr">
        <is>
          <t>aerospace, materials, solid mechanics</t>
        </is>
      </c>
      <c r="H25" s="2" t="inlineStr"/>
      <c r="I25" s="2" t="inlineStr">
        <is>
          <t>Manufacturing and Advanced Materials Characterization (MAGIC) Lab</t>
        </is>
      </c>
      <c r="J25" s="3">
        <f>HYPERLINK("https://magic.asu.edu/", "https://magic.asu.edu/")</f>
        <v/>
      </c>
      <c r="K25" s="2" t="inlineStr"/>
      <c r="L25" s="2" t="inlineStr">
        <is>
          <t>NSF</t>
        </is>
      </c>
      <c r="M25" s="2" t="inlineStr"/>
      <c r="N25" s="2" t="inlineStr">
        <is>
          <t>Advancing manufacturing innovation</t>
        </is>
      </c>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3">
        <f>HYPERLINK("https://scholar.google.com/citations?view_op=search_authors&amp;mauthors=Leila%20Ladani%20Arizona%20State%20University", "Google Scholar Search")</f>
        <v/>
      </c>
      <c r="T25" s="2" t="inlineStr"/>
      <c r="U25" s="3">
        <f>HYPERLINK("https://search.asu.edu/profile/ljannesa", "https://search.asu.edu/profile/ljannesa")</f>
        <v/>
      </c>
      <c r="V25" s="2" t="inlineStr"/>
      <c r="W25" s="2" t="b">
        <v>1</v>
      </c>
      <c r="X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3">
        <f>HYPERLINK("mailto:phelan@asu.edu", "phelan@asu.edu")</f>
        <v/>
      </c>
      <c r="D26" s="2" t="inlineStr">
        <is>
          <t>Arizona State University</t>
        </is>
      </c>
      <c r="E26" s="2" t="inlineStr">
        <is>
          <t>Aerospace &amp; Mechanical Engineering</t>
        </is>
      </c>
      <c r="F26" s="2" t="n">
        <v>3</v>
      </c>
      <c r="G26" s="2" t="inlineStr">
        <is>
          <t>aerospace, energy systems, thermal</t>
        </is>
      </c>
      <c r="H26" s="2" t="inlineStr"/>
      <c r="I26" s="2" t="inlineStr"/>
      <c r="J26" s="2" t="inlineStr"/>
      <c r="K26" s="2" t="inlineStr"/>
      <c r="L26" s="2" t="inlineStr"/>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3">
        <f>HYPERLINK("https://scholar.google.com/citations?view_op=search_authors&amp;mauthors=Patrick%20Phelan%20Arizona%20State%20University", "Google Scholar Search")</f>
        <v/>
      </c>
      <c r="T26" s="2" t="inlineStr"/>
      <c r="U26" s="3">
        <f>HYPERLINK("https://search.asu.edu/profile/pphelan", "https://search.asu.edu/profile/pphelan")</f>
        <v/>
      </c>
      <c r="V26" s="2" t="inlineStr">
        <is>
          <t>ENGRC 463 (TEMPE, AZ 85287-6106)</t>
        </is>
      </c>
      <c r="W26" s="2" t="b">
        <v>1</v>
      </c>
      <c r="X26" s="3">
        <f>HYPERLINK("https://faculty.engineering.asu.edu/directory/semte/aerospace-and-mechanical-engineering/", "https://faculty.engineering.asu.edu/directory/semte/aerospace-and-mechanical-engineering/")</f>
        <v/>
      </c>
    </row>
    <row r="27">
      <c r="A27" s="2" t="inlineStr">
        <is>
          <t>Yulia Peet</t>
        </is>
      </c>
      <c r="B27" s="2" t="inlineStr">
        <is>
          <t>Professor</t>
        </is>
      </c>
      <c r="C27" s="3">
        <f>HYPERLINK("mailto:ypeet@asu.edu", "ypeet@asu.edu")</f>
        <v/>
      </c>
      <c r="D27" s="2" t="inlineStr">
        <is>
          <t>Arizona State University</t>
        </is>
      </c>
      <c r="E27" s="2" t="inlineStr">
        <is>
          <t>Aerospace &amp; Mechanical Engineering</t>
        </is>
      </c>
      <c r="F27" s="2" t="n">
        <v>3</v>
      </c>
      <c r="G27" s="2" t="inlineStr">
        <is>
          <t>aerospace, fluid mechanics, turbulence</t>
        </is>
      </c>
      <c r="H27" s="2" t="inlineStr"/>
      <c r="I27" s="2" t="inlineStr">
        <is>
          <t>Interdisciplinary Simulation and Modeling (ISiM) Lab</t>
        </is>
      </c>
      <c r="J27" s="3">
        <f>HYPERLINK("https://isim.asu.edu", "https://isim.asu.edu")</f>
        <v/>
      </c>
      <c r="K27" s="2" t="inlineStr"/>
      <c r="L27" s="2" t="inlineStr"/>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3">
        <f>HYPERLINK("https://scholar.google.com/citations?hl=en&amp;user=_6o8MrUAAAAJ", "Scholar (_6o8MrUAAAAJ)")</f>
        <v/>
      </c>
      <c r="T27" s="2" t="inlineStr">
        <is>
          <t>_6o8MrUAAAAJ</t>
        </is>
      </c>
      <c r="U27" s="3">
        <f>HYPERLINK("https://search.asu.edu/profile/ypeet", "https://search.asu.edu/profile/ypeet")</f>
        <v/>
      </c>
      <c r="V27" s="2" t="inlineStr"/>
      <c r="W27" s="2" t="b">
        <v>1</v>
      </c>
      <c r="X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3">
        <f>HYPERLINK("mailto:zhuanghl@asu.edu", "zhuanghl@asu.edu")</f>
        <v/>
      </c>
      <c r="D28" s="2" t="inlineStr">
        <is>
          <t>Arizona State University</t>
        </is>
      </c>
      <c r="E28" s="2" t="inlineStr">
        <is>
          <t>Aerospace &amp; Mechanical Engineering</t>
        </is>
      </c>
      <c r="F28" s="2" t="n">
        <v>2</v>
      </c>
      <c r="G28" s="2" t="inlineStr">
        <is>
          <t>aerospace, materials</t>
        </is>
      </c>
      <c r="H28" s="2" t="inlineStr"/>
      <c r="I28" s="2" t="inlineStr">
        <is>
          <t>Computational Materials Science and Design Lab</t>
        </is>
      </c>
      <c r="J28" s="2" t="inlineStr"/>
      <c r="K28" s="2" t="inlineStr"/>
      <c r="L28" s="2" t="inlineStr"/>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3">
        <f>HYPERLINK("https://scholar.google.com/citations?hl=en&amp;user=4yYKCpUAAAAJ", "Scholar (4yYKCpUAAAAJ)")</f>
        <v/>
      </c>
      <c r="T28" s="2" t="inlineStr">
        <is>
          <t>4yYKCpUAAAAJ</t>
        </is>
      </c>
      <c r="U28" s="3">
        <f>HYPERLINK("https://search.asu.edu/profile/hzhuang7", "https://search.asu.edu/profile/hzhuang7")</f>
        <v/>
      </c>
      <c r="V28" s="2" t="inlineStr"/>
      <c r="W28" s="2" t="b">
        <v>1</v>
      </c>
      <c r="X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3">
        <f>HYPERLINK("mailto:Huei-Ping.Huang@asu.edu", "Huei-Ping.Huang@asu.edu")</f>
        <v/>
      </c>
      <c r="D29" s="2" t="inlineStr">
        <is>
          <t>Arizona State University</t>
        </is>
      </c>
      <c r="E29" s="2" t="inlineStr">
        <is>
          <t>Aerospace &amp; Mechanical Engineering</t>
        </is>
      </c>
      <c r="F29" s="2" t="n">
        <v>2</v>
      </c>
      <c r="G29" s="2" t="inlineStr">
        <is>
          <t>aerospace, fluid dynamics</t>
        </is>
      </c>
      <c r="H29" s="2" t="inlineStr"/>
      <c r="I29" s="2" t="inlineStr"/>
      <c r="J29" s="3">
        <f>HYPERLINK("http://www.public.asu.edu/~hhuang38", "http://www.public.asu.edu/~hhuang38")</f>
        <v/>
      </c>
      <c r="K29" s="2" t="inlineStr"/>
      <c r="L29" s="2" t="inlineStr"/>
      <c r="M29" s="2" t="inlineStr"/>
      <c r="N29" s="2" t="inlineStr">
        <is>
          <t>Log in to www_public</t>
        </is>
      </c>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3">
        <f>HYPERLINK("https://scholar.google.com/citations?view_op=search_authors&amp;mauthors=Huei-Ping%20Huang%20Arizona%20State%20University", "Google Scholar Search")</f>
        <v/>
      </c>
      <c r="T29" s="2" t="inlineStr"/>
      <c r="U29" s="3">
        <f>HYPERLINK("https://search.asu.edu/profile/hhuang38", "https://search.asu.edu/profile/hhuang38")</f>
        <v/>
      </c>
      <c r="V29" s="2" t="inlineStr">
        <is>
          <t>ENGRC 359 (Tempe, AZ 85287-6106)</t>
        </is>
      </c>
      <c r="W29" s="2" t="b">
        <v>1</v>
      </c>
      <c r="X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3">
        <f>HYPERLINK("mailto:Jagannathan.Rajagopalan@asu.edu", "Jagannathan.Rajagopalan@asu.edu")</f>
        <v/>
      </c>
      <c r="D30" s="2" t="inlineStr">
        <is>
          <t>Arizona State University</t>
        </is>
      </c>
      <c r="E30" s="2" t="inlineStr">
        <is>
          <t>Aerospace &amp; Mechanical Engineering</t>
        </is>
      </c>
      <c r="F30" s="2" t="n">
        <v>2</v>
      </c>
      <c r="G30" s="2" t="inlineStr">
        <is>
          <t>aerospace, materials</t>
        </is>
      </c>
      <c r="H30" s="2" t="inlineStr"/>
      <c r="I30" s="2" t="inlineStr">
        <is>
          <t>Nanomechanics Laboratory</t>
        </is>
      </c>
      <c r="J30" s="3">
        <f>HYPERLINK("http://faculty.engineering.asu.edu/jagan/", "http://faculty.engineering.asu.edu/jagan/")</f>
        <v/>
      </c>
      <c r="K30" s="2" t="inlineStr"/>
      <c r="L30" s="2" t="inlineStr"/>
      <c r="M30" s="2" t="inlineStr"/>
      <c r="N30" s="2" t="inlineStr">
        <is>
          <t>Nanostructured Materials</t>
        </is>
      </c>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3">
        <f>HYPERLINK("https://scholar.google.com/citations?hl=en&amp;user=ClqRIhIAAAAJ", "Scholar (ClqRIhIAAAAJ)")</f>
        <v/>
      </c>
      <c r="T30" s="2" t="inlineStr">
        <is>
          <t>ClqRIhIAAAAJ</t>
        </is>
      </c>
      <c r="U30" s="3">
        <f>HYPERLINK("https://search.asu.edu/profile/jrajago1", "https://search.asu.edu/profile/jrajago1")</f>
        <v/>
      </c>
      <c r="V30" s="2" t="inlineStr">
        <is>
          <t>ENGRC 355 (Tempe, AZ 85287-6106)</t>
        </is>
      </c>
      <c r="W30" s="2" t="b">
        <v>1</v>
      </c>
      <c r="X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3">
        <f>HYPERLINK("mailto:konradr@asu.edu", "konradr@asu.edu")</f>
        <v/>
      </c>
      <c r="D31" s="2" t="inlineStr">
        <is>
          <t>Arizona State University</t>
        </is>
      </c>
      <c r="E31" s="2" t="inlineStr">
        <is>
          <t>Aerospace &amp; Mechanical Engineering</t>
        </is>
      </c>
      <c r="F31" s="2" t="n">
        <v>2</v>
      </c>
      <c r="G31" s="2" t="inlineStr">
        <is>
          <t>materials, thermal</t>
        </is>
      </c>
      <c r="H31" s="2" t="inlineStr"/>
      <c r="I31" s="2" t="inlineStr">
        <is>
          <t>Nano-Bio-Thermal Engineering Laboratory</t>
        </is>
      </c>
      <c r="J31" s="3">
        <f>HYPERLINK("http://faculty.engineering.asu.edu/konrad/", "http://faculty.engineering.asu.edu/konrad/")</f>
        <v/>
      </c>
      <c r="K31" s="2" t="inlineStr"/>
      <c r="L31" s="2" t="inlineStr"/>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3">
        <f>HYPERLINK("https://scholar.google.com/citations?hl=en&amp;user=SWeAf4UAAAAJ", "Scholar (SWeAf4UAAAAJ)")</f>
        <v/>
      </c>
      <c r="T31" s="2" t="inlineStr">
        <is>
          <t>SWeAf4UAAAAJ</t>
        </is>
      </c>
      <c r="U31" s="3">
        <f>HYPERLINK("https://search.asu.edu/profile/krykacze", "https://search.asu.edu/profile/krykacze")</f>
        <v/>
      </c>
      <c r="V31" s="2" t="inlineStr">
        <is>
          <t>ENGRC 309 (Tempe, AZ 85287)</t>
        </is>
      </c>
      <c r="W31" s="2" t="b">
        <v>1</v>
      </c>
      <c r="X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3">
        <f>HYPERLINK("mailto:minglei.qu@asu.edu", "minglei.qu@asu.edu")</f>
        <v/>
      </c>
      <c r="D32" s="2" t="inlineStr">
        <is>
          <t>Arizona State University</t>
        </is>
      </c>
      <c r="E32" s="2" t="inlineStr">
        <is>
          <t>Aerospace &amp; Mechanical Engineering</t>
        </is>
      </c>
      <c r="F32" s="2" t="n">
        <v>2</v>
      </c>
      <c r="G32" s="2" t="inlineStr">
        <is>
          <t>composites, materials</t>
        </is>
      </c>
      <c r="H32" s="2" t="inlineStr"/>
      <c r="I32" s="2" t="inlineStr"/>
      <c r="J32" s="2" t="inlineStr"/>
      <c r="K32" s="2" t="inlineStr"/>
      <c r="L32" s="2" t="inlineStr"/>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3">
        <f>HYPERLINK("https://scholar.google.com/citations?hl=en&amp;user=9LWNC50AAAAJ", "Scholar (9LWNC50AAAAJ)")</f>
        <v/>
      </c>
      <c r="T32" s="2" t="inlineStr">
        <is>
          <t>9LWNC50AAAAJ</t>
        </is>
      </c>
      <c r="U32" s="3">
        <f>HYPERLINK("https://search.asu.edu/profile/mingleiq", "https://search.asu.edu/profile/mingleiq")</f>
        <v/>
      </c>
      <c r="V32" s="2" t="inlineStr">
        <is>
          <t>Campus: Tempe</t>
        </is>
      </c>
      <c r="W32" s="2" t="b">
        <v>1</v>
      </c>
      <c r="X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3">
        <f>HYPERLINK("mailto:Qiong.Nian@asu.edu", "Qiong.Nian@asu.edu")</f>
        <v/>
      </c>
      <c r="D33" s="2" t="inlineStr">
        <is>
          <t>Arizona State University</t>
        </is>
      </c>
      <c r="E33" s="2" t="inlineStr">
        <is>
          <t>Aerospace &amp; Mechanical Engineering</t>
        </is>
      </c>
      <c r="F33" s="2" t="n">
        <v>2</v>
      </c>
      <c r="G33" s="2" t="inlineStr">
        <is>
          <t>aerospace, materials</t>
        </is>
      </c>
      <c r="H33" s="2" t="inlineStr"/>
      <c r="I33" s="2" t="inlineStr"/>
      <c r="J33" s="3">
        <f>HYPERLINK("https://mmmplab.engineering.asu.edu/", "https://mmmplab.engineering.asu.edu/")</f>
        <v/>
      </c>
      <c r="K33" s="2" t="inlineStr"/>
      <c r="L33" s="2" t="inlineStr">
        <is>
          <t>NSF</t>
        </is>
      </c>
      <c r="M33" s="2" t="inlineStr"/>
      <c r="N33" s="2" t="inlineStr">
        <is>
          <t>Multi-scale Manufacturing Material Processing Lab (MMMPL)</t>
        </is>
      </c>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3">
        <f>HYPERLINK("https://scholar.google.com/citations?view_op=search_authors&amp;mauthors=Qiong%20Nian%20Arizona%20State%20University", "Google Scholar Search")</f>
        <v/>
      </c>
      <c r="T33" s="2" t="inlineStr"/>
      <c r="U33" s="3">
        <f>HYPERLINK("https://search.asu.edu/profile/qnian", "https://search.asu.edu/profile/qnian")</f>
        <v/>
      </c>
      <c r="V33" s="2" t="inlineStr">
        <is>
          <t>Campus: Tempe</t>
        </is>
      </c>
      <c r="W33" s="2" t="b">
        <v>1</v>
      </c>
      <c r="X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3">
        <f>HYPERLINK("mailto:Ronald.Calhoun@asu.edu", "Ronald.Calhoun@asu.edu")</f>
        <v/>
      </c>
      <c r="D34" s="2" t="inlineStr">
        <is>
          <t>Arizona State University</t>
        </is>
      </c>
      <c r="E34" s="2" t="inlineStr">
        <is>
          <t>Aerospace &amp; Mechanical Engineering</t>
        </is>
      </c>
      <c r="F34" s="2" t="n">
        <v>2</v>
      </c>
      <c r="G34" s="2" t="inlineStr">
        <is>
          <t>boundary layer, fluid dynamics</t>
        </is>
      </c>
      <c r="H34" s="2" t="inlineStr"/>
      <c r="I34" s="2" t="inlineStr">
        <is>
          <t>Wind Energy and Atmospheric Boundary Layer Lab</t>
        </is>
      </c>
      <c r="J34" s="3">
        <f>HYPERLINK("https://windlab.engineering.asu.edu/ronald-calhoun/", "https://windlab.engineering.asu.edu/ronald-calhoun/")</f>
        <v/>
      </c>
      <c r="K34" s="2" t="inlineStr"/>
      <c r="L34" s="2" t="inlineStr">
        <is>
          <t>DOE, NASA</t>
        </is>
      </c>
      <c r="M34" s="2" t="inlineStr"/>
      <c r="N34" s="2" t="inlineStr">
        <is>
          <t>Environmental Remote SensingGroup</t>
        </is>
      </c>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3">
        <f>HYPERLINK("https://scholar.google.com/citations?view_op=search_authors&amp;mauthors=Ronald%20Calhoun%20Arizona%20State%20University", "Google Scholar Search")</f>
        <v/>
      </c>
      <c r="T34" s="2" t="inlineStr"/>
      <c r="U34" s="3">
        <f>HYPERLINK("https://search.asu.edu/profile/rcalhou", "https://search.asu.edu/profile/rcalhou")</f>
        <v/>
      </c>
      <c r="V34" s="2" t="inlineStr">
        <is>
          <t>Goldwater 466 (TEMPE, AZ 85287-6106)</t>
        </is>
      </c>
      <c r="W34" s="2" t="b">
        <v>1</v>
      </c>
      <c r="X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3">
        <f>HYPERLINK("mailto:wjin@asu.edu", "wjin@asu.edu")</f>
        <v/>
      </c>
      <c r="D35" s="2" t="inlineStr">
        <is>
          <t>Arizona State University</t>
        </is>
      </c>
      <c r="E35" s="2" t="inlineStr">
        <is>
          <t>Aerospace &amp; Mechanical Engineering</t>
        </is>
      </c>
      <c r="F35" s="2" t="n">
        <v>2</v>
      </c>
      <c r="G35" s="2" t="inlineStr">
        <is>
          <t>robot, robotics</t>
        </is>
      </c>
      <c r="H35" s="2" t="inlineStr"/>
      <c r="I35" s="2" t="inlineStr">
        <is>
          <t>Intelligent Robotics and Interactive Systems Lab (IRIS Lab)</t>
        </is>
      </c>
      <c r="J35" s="3">
        <f>HYPERLINK("https://irislab.tech/", "https://irislab.tech/")</f>
        <v/>
      </c>
      <c r="K35" s="2" t="inlineStr"/>
      <c r="L35" s="2" t="inlineStr">
        <is>
          <t>NSF</t>
        </is>
      </c>
      <c r="M35" s="2" t="inlineStr">
        <is>
          <t>https://github.com/asu-iris</t>
        </is>
      </c>
      <c r="N35" s="2" t="inlineStr">
        <is>
          <t>Recent Updates</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3">
        <f>HYPERLINK("https://scholar.google.com/citations?hl=en&amp;user=SoEC4h4AAAAJ", "Scholar (SoEC4h4AAAAJ)")</f>
        <v/>
      </c>
      <c r="T35" s="2" t="inlineStr">
        <is>
          <t>SoEC4h4AAAAJ</t>
        </is>
      </c>
      <c r="U35" s="3">
        <f>HYPERLINK("https://search.asu.edu/profile/wjin34", "https://search.asu.edu/profile/wjin34")</f>
        <v/>
      </c>
      <c r="V35" s="2" t="inlineStr"/>
      <c r="W35" s="2" t="b">
        <v>1</v>
      </c>
      <c r="X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3">
        <f>HYPERLINK("mailto:Yongming.Liu@asu.edu", "Yongming.Liu@asu.edu")</f>
        <v/>
      </c>
      <c r="D36" s="2" t="inlineStr">
        <is>
          <t>Arizona State University</t>
        </is>
      </c>
      <c r="E36" s="2" t="inlineStr">
        <is>
          <t>Aerospace &amp; Mechanical Engineering</t>
        </is>
      </c>
      <c r="F36" s="2" t="n">
        <v>2</v>
      </c>
      <c r="G36" s="2" t="inlineStr">
        <is>
          <t>aerospace, materials</t>
        </is>
      </c>
      <c r="H36" s="2" t="inlineStr"/>
      <c r="I36" s="2" t="inlineStr">
        <is>
          <t>Prognostics and Health Management (PHM) Lab</t>
        </is>
      </c>
      <c r="J36" s="2" t="inlineStr"/>
      <c r="K36" s="2" t="inlineStr"/>
      <c r="L36" s="2" t="inlineStr"/>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3">
        <f>HYPERLINK("https://scholar.google.com/citations?view_op=search_authors&amp;mauthors=Yongming%20Liu%20Arizona%20State%20University", "Google Scholar Search")</f>
        <v/>
      </c>
      <c r="T36" s="2" t="inlineStr"/>
      <c r="U36" s="3">
        <f>HYPERLINK("https://search.asu.edu/profile/yliu35", "https://search.asu.edu/profile/yliu35")</f>
        <v/>
      </c>
      <c r="V36" s="2" t="inlineStr">
        <is>
          <t>ENGRC 409 (Tempe, AZ 85287-6106)</t>
        </is>
      </c>
      <c r="W36" s="2" t="b">
        <v>1</v>
      </c>
      <c r="X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3">
        <f>HYPERLINK("mailto:xiangjia.li@asu.edu", "xiangjia.li@asu.edu")</f>
        <v/>
      </c>
      <c r="D37" s="2" t="inlineStr">
        <is>
          <t>Arizona State University</t>
        </is>
      </c>
      <c r="E37" s="2" t="inlineStr">
        <is>
          <t>Aerospace &amp; Mechanical Engineering</t>
        </is>
      </c>
      <c r="F37" s="2" t="n">
        <v>1</v>
      </c>
      <c r="G37" s="2" t="inlineStr">
        <is>
          <t>materials</t>
        </is>
      </c>
      <c r="H37" s="2" t="inlineStr"/>
      <c r="I37" s="2" t="inlineStr">
        <is>
          <t>Advanced Manufacturing and Bio-inspired Design Lab</t>
        </is>
      </c>
      <c r="J37" s="3">
        <f>HYPERLINK("https://www.cindyxjli.com/", "https://www.cindyxjli.com/")</f>
        <v/>
      </c>
      <c r="K37" s="2" t="inlineStr"/>
      <c r="L37" s="2" t="inlineStr">
        <is>
          <t>NSF</t>
        </is>
      </c>
      <c r="M37" s="2" t="inlineStr"/>
      <c r="N37" s="2" t="inlineStr">
        <is>
          <t>Manufacturing</t>
        </is>
      </c>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3">
        <f>HYPERLINK("https://scholar.google.com/citations?hl=en&amp;user=tGQzHJIAAAAJ", "Scholar (tGQzHJIAAAAJ)")</f>
        <v/>
      </c>
      <c r="T37" s="2" t="inlineStr">
        <is>
          <t>tGQzHJIAAAAJ</t>
        </is>
      </c>
      <c r="U37" s="3">
        <f>HYPERLINK("https://search.asu.edu/profile/xiangji5", "https://search.asu.edu/profile/xiangji5")</f>
        <v/>
      </c>
      <c r="V37" s="2" t="inlineStr"/>
      <c r="W37" s="2" t="b">
        <v>1</v>
      </c>
      <c r="X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3">
        <f>HYPERLINK("mailto:jimbo@asu.edu", "jimbo@asu.edu")</f>
        <v/>
      </c>
      <c r="D38" s="2" t="inlineStr">
        <is>
          <t>Arizona State University</t>
        </is>
      </c>
      <c r="E38" s="2" t="inlineStr">
        <is>
          <t>Aerospace &amp; Mechanical Engineering</t>
        </is>
      </c>
      <c r="F38" s="2" t="n">
        <v>1</v>
      </c>
      <c r="G38" s="2" t="inlineStr">
        <is>
          <t>aerospace</t>
        </is>
      </c>
      <c r="H38" s="2" t="inlineStr"/>
      <c r="I38" s="2" t="inlineStr"/>
      <c r="J38" s="2" t="inlineStr"/>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3">
        <f>HYPERLINK("https://scholar.google.com/citations?view_op=search_authors&amp;mauthors=James%20Middleton%20Arizona%20State%20University", "Google Scholar Search")</f>
        <v/>
      </c>
      <c r="T38" s="2" t="inlineStr"/>
      <c r="U38" s="3">
        <f>HYPERLINK("https://search.asu.edu/profile/jimbo", "https://search.asu.edu/profile/jimbo")</f>
        <v/>
      </c>
      <c r="V38" s="2" t="inlineStr">
        <is>
          <t>ENGRC 381 (TEMPE, AZ 85287-6106)</t>
        </is>
      </c>
      <c r="W38" s="2" t="b">
        <v>1</v>
      </c>
      <c r="X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3">
        <f>HYPERLINK("mailto:Lin.Li.10@asu.edu", "Lin.Li.10@asu.edu")</f>
        <v/>
      </c>
      <c r="D39" s="2" t="inlineStr">
        <is>
          <t>Arizona State University</t>
        </is>
      </c>
      <c r="E39" s="2" t="inlineStr">
        <is>
          <t>Aerospace &amp; Mechanical Engineering</t>
        </is>
      </c>
      <c r="F39" s="2" t="n">
        <v>1</v>
      </c>
      <c r="G39" s="2" t="inlineStr">
        <is>
          <t>materials</t>
        </is>
      </c>
      <c r="H39" s="2" t="inlineStr"/>
      <c r="I39" s="2" t="inlineStr"/>
      <c r="J39" s="2" t="inlineStr"/>
      <c r="K39" s="2" t="inlineStr"/>
      <c r="L39" s="2" t="inlineStr"/>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3">
        <f>HYPERLINK("https://scholar.google.com/citations?view_op=search_authors&amp;mauthors=Lin%20Li%20Arizona%20State%20University", "Google Scholar Search")</f>
        <v/>
      </c>
      <c r="T39" s="2" t="inlineStr"/>
      <c r="U39" s="3">
        <f>HYPERLINK("https://search.asu.edu/profile/linli25", "https://search.asu.edu/profile/linli25")</f>
        <v/>
      </c>
      <c r="V39" s="2" t="inlineStr">
        <is>
          <t>Campus: Tempe</t>
        </is>
      </c>
      <c r="W39" s="2" t="b">
        <v>1</v>
      </c>
      <c r="X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3">
        <f>HYPERLINK("mailto:marc.mignolet@asu.edu", "marc.mignolet@asu.edu")</f>
        <v/>
      </c>
      <c r="D40" s="2" t="inlineStr">
        <is>
          <t>Arizona State University</t>
        </is>
      </c>
      <c r="E40" s="2" t="inlineStr">
        <is>
          <t>Aerospace &amp; Mechanical Engineering</t>
        </is>
      </c>
      <c r="F40" s="2" t="n">
        <v>1</v>
      </c>
      <c r="G40" s="2" t="inlineStr">
        <is>
          <t>aerospace</t>
        </is>
      </c>
      <c r="H40" s="2" t="inlineStr"/>
      <c r="I40" s="2" t="inlineStr"/>
      <c r="J40" s="2" t="inlineStr"/>
      <c r="K40" s="2" t="inlineStr"/>
      <c r="L40" s="2" t="inlineStr"/>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3">
        <f>HYPERLINK("https://scholar.google.com/citations?view_op=search_authors&amp;mauthors=Marc%20Mignolet%20Arizona%20State%20University", "Google Scholar Search")</f>
        <v/>
      </c>
      <c r="T40" s="2" t="inlineStr"/>
      <c r="U40" s="3">
        <f>HYPERLINK("https://search.asu.edu/profile/marc03", "https://search.asu.edu/profile/marc03")</f>
        <v/>
      </c>
      <c r="V40" s="2" t="inlineStr">
        <is>
          <t>ENGRC 411 (TEMPE, AZ 85287-6106)</t>
        </is>
      </c>
      <c r="W40" s="2" t="b">
        <v>1</v>
      </c>
      <c r="X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3">
        <f>HYPERLINK("mailto:pperalta@asu.edu", "pperalta@asu.edu")</f>
        <v/>
      </c>
      <c r="D41" s="2" t="inlineStr">
        <is>
          <t>Arizona State University</t>
        </is>
      </c>
      <c r="E41" s="2" t="inlineStr">
        <is>
          <t>Aerospace &amp; Mechanical Engineering</t>
        </is>
      </c>
      <c r="F41" s="2" t="n">
        <v>1</v>
      </c>
      <c r="G41" s="2" t="inlineStr">
        <is>
          <t>materials</t>
        </is>
      </c>
      <c r="H41" s="2" t="inlineStr"/>
      <c r="I41" s="2" t="inlineStr"/>
      <c r="J41" s="3">
        <f>HYPERLINK("https://faculty.engineering.asu.edu/pperalta/", "https://faculty.engineering.asu.edu/pperalta/")</f>
        <v/>
      </c>
      <c r="K41" s="2" t="inlineStr"/>
      <c r="L41" s="2" t="inlineStr"/>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3">
        <f>HYPERLINK("https://scholar.google.com/citations?view_op=search_authors&amp;mauthors=Pedro%20Peralta%20Arizona%20State%20University", "Google Scholar Search")</f>
        <v/>
      </c>
      <c r="T41" s="2" t="inlineStr"/>
      <c r="U41" s="3">
        <f>HYPERLINK("https://search.asu.edu/profile/pperalta", "https://search.asu.edu/profile/pperalta")</f>
        <v/>
      </c>
      <c r="V41" s="2" t="inlineStr"/>
      <c r="W41" s="2" t="b">
        <v>1</v>
      </c>
      <c r="X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3">
        <f>HYPERLINK("mailto:Wonmo.Kang@asu.edu", "Wonmo.Kang@asu.edu")</f>
        <v/>
      </c>
      <c r="D42" s="2" t="inlineStr">
        <is>
          <t>Arizona State University</t>
        </is>
      </c>
      <c r="E42" s="2" t="inlineStr">
        <is>
          <t>Aerospace &amp; Mechanical Engineering</t>
        </is>
      </c>
      <c r="F42" s="2" t="n">
        <v>1</v>
      </c>
      <c r="G42" s="2" t="inlineStr">
        <is>
          <t>materials</t>
        </is>
      </c>
      <c r="H42" s="2" t="inlineStr">
        <is>
          <t>Welcome and we are looking forward to working with Dr</t>
        </is>
      </c>
      <c r="I42" s="2" t="inlineStr"/>
      <c r="J42" s="3">
        <f>HYPERLINK("https://wonmokang3.wixsite.com/website", "https://wonmokang3.wixsite.com/website")</f>
        <v/>
      </c>
      <c r="K42" s="2" t="inlineStr"/>
      <c r="L42" s="2" t="inlineStr">
        <is>
          <t>NSF, ONR</t>
        </is>
      </c>
      <c r="M42" s="2" t="inlineStr"/>
      <c r="N42" s="2" t="inlineStr">
        <is>
          <t>Highlighted as a cover in Small</t>
        </is>
      </c>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3">
        <f>HYPERLINK("https://scholar.google.com/citations?hl=en&amp;user=bHyyOTAAAAAJ", "Scholar (bHyyOTAAAAAJ)")</f>
        <v/>
      </c>
      <c r="T42" s="2" t="inlineStr">
        <is>
          <t>bHyyOTAAAAAJ</t>
        </is>
      </c>
      <c r="U42" s="3">
        <f>HYPERLINK("https://search.asu.edu/profile/wkang16", "https://search.asu.edu/profile/wkang16")</f>
        <v/>
      </c>
      <c r="V42" s="2" t="inlineStr">
        <is>
          <t>Campus: Tempe</t>
        </is>
      </c>
      <c r="W42" s="2" t="b">
        <v>1</v>
      </c>
      <c r="X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3">
        <f>HYPERLINK("mailto:yiren@asu.edu", "yiren@asu.edu")</f>
        <v/>
      </c>
      <c r="D43" s="2" t="inlineStr">
        <is>
          <t>Arizona State University</t>
        </is>
      </c>
      <c r="E43" s="2" t="inlineStr">
        <is>
          <t>Aerospace &amp; Mechanical Engineering</t>
        </is>
      </c>
      <c r="F43" s="2" t="n">
        <v>1</v>
      </c>
      <c r="G43" s="2" t="inlineStr">
        <is>
          <t>aerospace</t>
        </is>
      </c>
      <c r="H43" s="2" t="inlineStr"/>
      <c r="I43" s="2" t="inlineStr"/>
      <c r="J43" s="2" t="inlineStr"/>
      <c r="K43" s="2" t="inlineStr"/>
      <c r="L43" s="2" t="inlineStr"/>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3">
        <f>HYPERLINK("https://scholar.google.com/citations?view_op=search_authors&amp;mauthors=Yi%20Ren%20Arizona%20State%20University", "Google Scholar Search")</f>
        <v/>
      </c>
      <c r="T43" s="2" t="inlineStr"/>
      <c r="U43" s="3">
        <f>HYPERLINK("https://search.asu.edu/profile/yren32", "https://search.asu.edu/profile/yren32")</f>
        <v/>
      </c>
      <c r="V43" s="2" t="inlineStr">
        <is>
          <t>GWC 464 (Tempe, AZ 85287-6106)</t>
        </is>
      </c>
      <c r="W43" s="2" t="b">
        <v>1</v>
      </c>
      <c r="X43"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J2" r:id="rId2"/>
    <hyperlink xmlns:r="http://schemas.openxmlformats.org/officeDocument/2006/relationships" ref="S2" r:id="rId3"/>
    <hyperlink xmlns:r="http://schemas.openxmlformats.org/officeDocument/2006/relationships" ref="U2" r:id="rId4"/>
    <hyperlink xmlns:r="http://schemas.openxmlformats.org/officeDocument/2006/relationships" ref="X2" r:id="rId5"/>
    <hyperlink xmlns:r="http://schemas.openxmlformats.org/officeDocument/2006/relationships" ref="C3" r:id="rId6"/>
    <hyperlink xmlns:r="http://schemas.openxmlformats.org/officeDocument/2006/relationships" ref="J3" r:id="rId7"/>
    <hyperlink xmlns:r="http://schemas.openxmlformats.org/officeDocument/2006/relationships" ref="S3" r:id="rId8"/>
    <hyperlink xmlns:r="http://schemas.openxmlformats.org/officeDocument/2006/relationships" ref="U3" r:id="rId9"/>
    <hyperlink xmlns:r="http://schemas.openxmlformats.org/officeDocument/2006/relationships" ref="X3" r:id="rId10"/>
    <hyperlink xmlns:r="http://schemas.openxmlformats.org/officeDocument/2006/relationships" ref="C4" r:id="rId11"/>
    <hyperlink xmlns:r="http://schemas.openxmlformats.org/officeDocument/2006/relationships" ref="J4" r:id="rId12"/>
    <hyperlink xmlns:r="http://schemas.openxmlformats.org/officeDocument/2006/relationships" ref="S4" r:id="rId13"/>
    <hyperlink xmlns:r="http://schemas.openxmlformats.org/officeDocument/2006/relationships" ref="U4" r:id="rId14"/>
    <hyperlink xmlns:r="http://schemas.openxmlformats.org/officeDocument/2006/relationships" ref="X4" r:id="rId15"/>
    <hyperlink xmlns:r="http://schemas.openxmlformats.org/officeDocument/2006/relationships" ref="C5" r:id="rId16"/>
    <hyperlink xmlns:r="http://schemas.openxmlformats.org/officeDocument/2006/relationships" ref="J5" r:id="rId17"/>
    <hyperlink xmlns:r="http://schemas.openxmlformats.org/officeDocument/2006/relationships" ref="S5" r:id="rId18"/>
    <hyperlink xmlns:r="http://schemas.openxmlformats.org/officeDocument/2006/relationships" ref="U5" r:id="rId19"/>
    <hyperlink xmlns:r="http://schemas.openxmlformats.org/officeDocument/2006/relationships" ref="X5" r:id="rId20"/>
    <hyperlink xmlns:r="http://schemas.openxmlformats.org/officeDocument/2006/relationships" ref="C6" r:id="rId21"/>
    <hyperlink xmlns:r="http://schemas.openxmlformats.org/officeDocument/2006/relationships" ref="S6" r:id="rId22"/>
    <hyperlink xmlns:r="http://schemas.openxmlformats.org/officeDocument/2006/relationships" ref="U6" r:id="rId23"/>
    <hyperlink xmlns:r="http://schemas.openxmlformats.org/officeDocument/2006/relationships" ref="X6" r:id="rId24"/>
    <hyperlink xmlns:r="http://schemas.openxmlformats.org/officeDocument/2006/relationships" ref="C7" r:id="rId25"/>
    <hyperlink xmlns:r="http://schemas.openxmlformats.org/officeDocument/2006/relationships" ref="S7" r:id="rId26"/>
    <hyperlink xmlns:r="http://schemas.openxmlformats.org/officeDocument/2006/relationships" ref="U7" r:id="rId27"/>
    <hyperlink xmlns:r="http://schemas.openxmlformats.org/officeDocument/2006/relationships" ref="X7" r:id="rId28"/>
    <hyperlink xmlns:r="http://schemas.openxmlformats.org/officeDocument/2006/relationships" ref="C8" r:id="rId29"/>
    <hyperlink xmlns:r="http://schemas.openxmlformats.org/officeDocument/2006/relationships" ref="J8" r:id="rId30"/>
    <hyperlink xmlns:r="http://schemas.openxmlformats.org/officeDocument/2006/relationships" ref="S8" r:id="rId31"/>
    <hyperlink xmlns:r="http://schemas.openxmlformats.org/officeDocument/2006/relationships" ref="U8" r:id="rId32"/>
    <hyperlink xmlns:r="http://schemas.openxmlformats.org/officeDocument/2006/relationships" ref="X8" r:id="rId33"/>
    <hyperlink xmlns:r="http://schemas.openxmlformats.org/officeDocument/2006/relationships" ref="C9" r:id="rId34"/>
    <hyperlink xmlns:r="http://schemas.openxmlformats.org/officeDocument/2006/relationships" ref="J9" r:id="rId35"/>
    <hyperlink xmlns:r="http://schemas.openxmlformats.org/officeDocument/2006/relationships" ref="S9" r:id="rId36"/>
    <hyperlink xmlns:r="http://schemas.openxmlformats.org/officeDocument/2006/relationships" ref="U9" r:id="rId37"/>
    <hyperlink xmlns:r="http://schemas.openxmlformats.org/officeDocument/2006/relationships" ref="X9" r:id="rId38"/>
    <hyperlink xmlns:r="http://schemas.openxmlformats.org/officeDocument/2006/relationships" ref="C10" r:id="rId39"/>
    <hyperlink xmlns:r="http://schemas.openxmlformats.org/officeDocument/2006/relationships" ref="J10" r:id="rId40"/>
    <hyperlink xmlns:r="http://schemas.openxmlformats.org/officeDocument/2006/relationships" ref="S10" r:id="rId41"/>
    <hyperlink xmlns:r="http://schemas.openxmlformats.org/officeDocument/2006/relationships" ref="U10" r:id="rId42"/>
    <hyperlink xmlns:r="http://schemas.openxmlformats.org/officeDocument/2006/relationships" ref="X10" r:id="rId43"/>
    <hyperlink xmlns:r="http://schemas.openxmlformats.org/officeDocument/2006/relationships" ref="C11" r:id="rId44"/>
    <hyperlink xmlns:r="http://schemas.openxmlformats.org/officeDocument/2006/relationships" ref="S11" r:id="rId45"/>
    <hyperlink xmlns:r="http://schemas.openxmlformats.org/officeDocument/2006/relationships" ref="U11" r:id="rId46"/>
    <hyperlink xmlns:r="http://schemas.openxmlformats.org/officeDocument/2006/relationships" ref="X11" r:id="rId47"/>
    <hyperlink xmlns:r="http://schemas.openxmlformats.org/officeDocument/2006/relationships" ref="C12" r:id="rId48"/>
    <hyperlink xmlns:r="http://schemas.openxmlformats.org/officeDocument/2006/relationships" ref="J12" r:id="rId49"/>
    <hyperlink xmlns:r="http://schemas.openxmlformats.org/officeDocument/2006/relationships" ref="S12" r:id="rId50"/>
    <hyperlink xmlns:r="http://schemas.openxmlformats.org/officeDocument/2006/relationships" ref="U12" r:id="rId51"/>
    <hyperlink xmlns:r="http://schemas.openxmlformats.org/officeDocument/2006/relationships" ref="X12" r:id="rId52"/>
    <hyperlink xmlns:r="http://schemas.openxmlformats.org/officeDocument/2006/relationships" ref="C13" r:id="rId53"/>
    <hyperlink xmlns:r="http://schemas.openxmlformats.org/officeDocument/2006/relationships" ref="J13" r:id="rId54"/>
    <hyperlink xmlns:r="http://schemas.openxmlformats.org/officeDocument/2006/relationships" ref="S13" r:id="rId55"/>
    <hyperlink xmlns:r="http://schemas.openxmlformats.org/officeDocument/2006/relationships" ref="U13" r:id="rId56"/>
    <hyperlink xmlns:r="http://schemas.openxmlformats.org/officeDocument/2006/relationships" ref="X13" r:id="rId57"/>
    <hyperlink xmlns:r="http://schemas.openxmlformats.org/officeDocument/2006/relationships" ref="C14" r:id="rId58"/>
    <hyperlink xmlns:r="http://schemas.openxmlformats.org/officeDocument/2006/relationships" ref="S14" r:id="rId59"/>
    <hyperlink xmlns:r="http://schemas.openxmlformats.org/officeDocument/2006/relationships" ref="U14" r:id="rId60"/>
    <hyperlink xmlns:r="http://schemas.openxmlformats.org/officeDocument/2006/relationships" ref="X14" r:id="rId61"/>
    <hyperlink xmlns:r="http://schemas.openxmlformats.org/officeDocument/2006/relationships" ref="C15" r:id="rId62"/>
    <hyperlink xmlns:r="http://schemas.openxmlformats.org/officeDocument/2006/relationships" ref="J15" r:id="rId63"/>
    <hyperlink xmlns:r="http://schemas.openxmlformats.org/officeDocument/2006/relationships" ref="S15" r:id="rId64"/>
    <hyperlink xmlns:r="http://schemas.openxmlformats.org/officeDocument/2006/relationships" ref="U15" r:id="rId65"/>
    <hyperlink xmlns:r="http://schemas.openxmlformats.org/officeDocument/2006/relationships" ref="X15" r:id="rId66"/>
    <hyperlink xmlns:r="http://schemas.openxmlformats.org/officeDocument/2006/relationships" ref="C16" r:id="rId67"/>
    <hyperlink xmlns:r="http://schemas.openxmlformats.org/officeDocument/2006/relationships" ref="J16" r:id="rId68"/>
    <hyperlink xmlns:r="http://schemas.openxmlformats.org/officeDocument/2006/relationships" ref="S16" r:id="rId69"/>
    <hyperlink xmlns:r="http://schemas.openxmlformats.org/officeDocument/2006/relationships" ref="U16" r:id="rId70"/>
    <hyperlink xmlns:r="http://schemas.openxmlformats.org/officeDocument/2006/relationships" ref="X16" r:id="rId71"/>
    <hyperlink xmlns:r="http://schemas.openxmlformats.org/officeDocument/2006/relationships" ref="C17" r:id="rId72"/>
    <hyperlink xmlns:r="http://schemas.openxmlformats.org/officeDocument/2006/relationships" ref="J17" r:id="rId73"/>
    <hyperlink xmlns:r="http://schemas.openxmlformats.org/officeDocument/2006/relationships" ref="S17" r:id="rId74"/>
    <hyperlink xmlns:r="http://schemas.openxmlformats.org/officeDocument/2006/relationships" ref="U17" r:id="rId75"/>
    <hyperlink xmlns:r="http://schemas.openxmlformats.org/officeDocument/2006/relationships" ref="X17" r:id="rId76"/>
    <hyperlink xmlns:r="http://schemas.openxmlformats.org/officeDocument/2006/relationships" ref="C18" r:id="rId77"/>
    <hyperlink xmlns:r="http://schemas.openxmlformats.org/officeDocument/2006/relationships" ref="S18" r:id="rId78"/>
    <hyperlink xmlns:r="http://schemas.openxmlformats.org/officeDocument/2006/relationships" ref="U18" r:id="rId79"/>
    <hyperlink xmlns:r="http://schemas.openxmlformats.org/officeDocument/2006/relationships" ref="X18" r:id="rId80"/>
    <hyperlink xmlns:r="http://schemas.openxmlformats.org/officeDocument/2006/relationships" ref="C19" r:id="rId81"/>
    <hyperlink xmlns:r="http://schemas.openxmlformats.org/officeDocument/2006/relationships" ref="S19" r:id="rId82"/>
    <hyperlink xmlns:r="http://schemas.openxmlformats.org/officeDocument/2006/relationships" ref="U19" r:id="rId83"/>
    <hyperlink xmlns:r="http://schemas.openxmlformats.org/officeDocument/2006/relationships" ref="X19" r:id="rId84"/>
    <hyperlink xmlns:r="http://schemas.openxmlformats.org/officeDocument/2006/relationships" ref="C20" r:id="rId85"/>
    <hyperlink xmlns:r="http://schemas.openxmlformats.org/officeDocument/2006/relationships" ref="S20" r:id="rId86"/>
    <hyperlink xmlns:r="http://schemas.openxmlformats.org/officeDocument/2006/relationships" ref="U20" r:id="rId87"/>
    <hyperlink xmlns:r="http://schemas.openxmlformats.org/officeDocument/2006/relationships" ref="X20" r:id="rId88"/>
    <hyperlink xmlns:r="http://schemas.openxmlformats.org/officeDocument/2006/relationships" ref="C21" r:id="rId89"/>
    <hyperlink xmlns:r="http://schemas.openxmlformats.org/officeDocument/2006/relationships" ref="S21" r:id="rId90"/>
    <hyperlink xmlns:r="http://schemas.openxmlformats.org/officeDocument/2006/relationships" ref="U21" r:id="rId91"/>
    <hyperlink xmlns:r="http://schemas.openxmlformats.org/officeDocument/2006/relationships" ref="X21" r:id="rId92"/>
    <hyperlink xmlns:r="http://schemas.openxmlformats.org/officeDocument/2006/relationships" ref="C22" r:id="rId93"/>
    <hyperlink xmlns:r="http://schemas.openxmlformats.org/officeDocument/2006/relationships" ref="J22" r:id="rId94"/>
    <hyperlink xmlns:r="http://schemas.openxmlformats.org/officeDocument/2006/relationships" ref="S22" r:id="rId95"/>
    <hyperlink xmlns:r="http://schemas.openxmlformats.org/officeDocument/2006/relationships" ref="U22" r:id="rId96"/>
    <hyperlink xmlns:r="http://schemas.openxmlformats.org/officeDocument/2006/relationships" ref="X22" r:id="rId97"/>
    <hyperlink xmlns:r="http://schemas.openxmlformats.org/officeDocument/2006/relationships" ref="C23" r:id="rId98"/>
    <hyperlink xmlns:r="http://schemas.openxmlformats.org/officeDocument/2006/relationships" ref="J23" r:id="rId99"/>
    <hyperlink xmlns:r="http://schemas.openxmlformats.org/officeDocument/2006/relationships" ref="S23" r:id="rId100"/>
    <hyperlink xmlns:r="http://schemas.openxmlformats.org/officeDocument/2006/relationships" ref="U23" r:id="rId101"/>
    <hyperlink xmlns:r="http://schemas.openxmlformats.org/officeDocument/2006/relationships" ref="X23" r:id="rId102"/>
    <hyperlink xmlns:r="http://schemas.openxmlformats.org/officeDocument/2006/relationships" ref="C24" r:id="rId103"/>
    <hyperlink xmlns:r="http://schemas.openxmlformats.org/officeDocument/2006/relationships" ref="J24" r:id="rId104"/>
    <hyperlink xmlns:r="http://schemas.openxmlformats.org/officeDocument/2006/relationships" ref="S24" r:id="rId105"/>
    <hyperlink xmlns:r="http://schemas.openxmlformats.org/officeDocument/2006/relationships" ref="U24" r:id="rId106"/>
    <hyperlink xmlns:r="http://schemas.openxmlformats.org/officeDocument/2006/relationships" ref="X24" r:id="rId107"/>
    <hyperlink xmlns:r="http://schemas.openxmlformats.org/officeDocument/2006/relationships" ref="C25" r:id="rId108"/>
    <hyperlink xmlns:r="http://schemas.openxmlformats.org/officeDocument/2006/relationships" ref="J25" r:id="rId109"/>
    <hyperlink xmlns:r="http://schemas.openxmlformats.org/officeDocument/2006/relationships" ref="S25" r:id="rId110"/>
    <hyperlink xmlns:r="http://schemas.openxmlformats.org/officeDocument/2006/relationships" ref="U25" r:id="rId111"/>
    <hyperlink xmlns:r="http://schemas.openxmlformats.org/officeDocument/2006/relationships" ref="X25" r:id="rId112"/>
    <hyperlink xmlns:r="http://schemas.openxmlformats.org/officeDocument/2006/relationships" ref="C26" r:id="rId113"/>
    <hyperlink xmlns:r="http://schemas.openxmlformats.org/officeDocument/2006/relationships" ref="S26" r:id="rId114"/>
    <hyperlink xmlns:r="http://schemas.openxmlformats.org/officeDocument/2006/relationships" ref="U26" r:id="rId115"/>
    <hyperlink xmlns:r="http://schemas.openxmlformats.org/officeDocument/2006/relationships" ref="X26" r:id="rId116"/>
    <hyperlink xmlns:r="http://schemas.openxmlformats.org/officeDocument/2006/relationships" ref="C27" r:id="rId117"/>
    <hyperlink xmlns:r="http://schemas.openxmlformats.org/officeDocument/2006/relationships" ref="J27" r:id="rId118"/>
    <hyperlink xmlns:r="http://schemas.openxmlformats.org/officeDocument/2006/relationships" ref="S27" r:id="rId119"/>
    <hyperlink xmlns:r="http://schemas.openxmlformats.org/officeDocument/2006/relationships" ref="U27" r:id="rId120"/>
    <hyperlink xmlns:r="http://schemas.openxmlformats.org/officeDocument/2006/relationships" ref="X27" r:id="rId121"/>
    <hyperlink xmlns:r="http://schemas.openxmlformats.org/officeDocument/2006/relationships" ref="C28" r:id="rId122"/>
    <hyperlink xmlns:r="http://schemas.openxmlformats.org/officeDocument/2006/relationships" ref="S28" r:id="rId123"/>
    <hyperlink xmlns:r="http://schemas.openxmlformats.org/officeDocument/2006/relationships" ref="U28" r:id="rId124"/>
    <hyperlink xmlns:r="http://schemas.openxmlformats.org/officeDocument/2006/relationships" ref="X28" r:id="rId125"/>
    <hyperlink xmlns:r="http://schemas.openxmlformats.org/officeDocument/2006/relationships" ref="C29" r:id="rId126"/>
    <hyperlink xmlns:r="http://schemas.openxmlformats.org/officeDocument/2006/relationships" ref="J29" r:id="rId127"/>
    <hyperlink xmlns:r="http://schemas.openxmlformats.org/officeDocument/2006/relationships" ref="S29" r:id="rId128"/>
    <hyperlink xmlns:r="http://schemas.openxmlformats.org/officeDocument/2006/relationships" ref="U29" r:id="rId129"/>
    <hyperlink xmlns:r="http://schemas.openxmlformats.org/officeDocument/2006/relationships" ref="X29" r:id="rId130"/>
    <hyperlink xmlns:r="http://schemas.openxmlformats.org/officeDocument/2006/relationships" ref="C30" r:id="rId131"/>
    <hyperlink xmlns:r="http://schemas.openxmlformats.org/officeDocument/2006/relationships" ref="J30" r:id="rId132"/>
    <hyperlink xmlns:r="http://schemas.openxmlformats.org/officeDocument/2006/relationships" ref="S30" r:id="rId133"/>
    <hyperlink xmlns:r="http://schemas.openxmlformats.org/officeDocument/2006/relationships" ref="U30" r:id="rId134"/>
    <hyperlink xmlns:r="http://schemas.openxmlformats.org/officeDocument/2006/relationships" ref="X30" r:id="rId135"/>
    <hyperlink xmlns:r="http://schemas.openxmlformats.org/officeDocument/2006/relationships" ref="C31" r:id="rId136"/>
    <hyperlink xmlns:r="http://schemas.openxmlformats.org/officeDocument/2006/relationships" ref="J31" r:id="rId137"/>
    <hyperlink xmlns:r="http://schemas.openxmlformats.org/officeDocument/2006/relationships" ref="S31" r:id="rId138"/>
    <hyperlink xmlns:r="http://schemas.openxmlformats.org/officeDocument/2006/relationships" ref="U31" r:id="rId139"/>
    <hyperlink xmlns:r="http://schemas.openxmlformats.org/officeDocument/2006/relationships" ref="X31" r:id="rId140"/>
    <hyperlink xmlns:r="http://schemas.openxmlformats.org/officeDocument/2006/relationships" ref="C32" r:id="rId141"/>
    <hyperlink xmlns:r="http://schemas.openxmlformats.org/officeDocument/2006/relationships" ref="S32" r:id="rId142"/>
    <hyperlink xmlns:r="http://schemas.openxmlformats.org/officeDocument/2006/relationships" ref="U32" r:id="rId143"/>
    <hyperlink xmlns:r="http://schemas.openxmlformats.org/officeDocument/2006/relationships" ref="X32" r:id="rId144"/>
    <hyperlink xmlns:r="http://schemas.openxmlformats.org/officeDocument/2006/relationships" ref="C33" r:id="rId145"/>
    <hyperlink xmlns:r="http://schemas.openxmlformats.org/officeDocument/2006/relationships" ref="J33" r:id="rId146"/>
    <hyperlink xmlns:r="http://schemas.openxmlformats.org/officeDocument/2006/relationships" ref="S33" r:id="rId147"/>
    <hyperlink xmlns:r="http://schemas.openxmlformats.org/officeDocument/2006/relationships" ref="U33" r:id="rId148"/>
    <hyperlink xmlns:r="http://schemas.openxmlformats.org/officeDocument/2006/relationships" ref="X33" r:id="rId149"/>
    <hyperlink xmlns:r="http://schemas.openxmlformats.org/officeDocument/2006/relationships" ref="C34" r:id="rId150"/>
    <hyperlink xmlns:r="http://schemas.openxmlformats.org/officeDocument/2006/relationships" ref="J34" r:id="rId151"/>
    <hyperlink xmlns:r="http://schemas.openxmlformats.org/officeDocument/2006/relationships" ref="S34" r:id="rId152"/>
    <hyperlink xmlns:r="http://schemas.openxmlformats.org/officeDocument/2006/relationships" ref="U34" r:id="rId153"/>
    <hyperlink xmlns:r="http://schemas.openxmlformats.org/officeDocument/2006/relationships" ref="X34" r:id="rId154"/>
    <hyperlink xmlns:r="http://schemas.openxmlformats.org/officeDocument/2006/relationships" ref="C35" r:id="rId155"/>
    <hyperlink xmlns:r="http://schemas.openxmlformats.org/officeDocument/2006/relationships" ref="J35" r:id="rId156"/>
    <hyperlink xmlns:r="http://schemas.openxmlformats.org/officeDocument/2006/relationships" ref="S35" r:id="rId157"/>
    <hyperlink xmlns:r="http://schemas.openxmlformats.org/officeDocument/2006/relationships" ref="U35" r:id="rId158"/>
    <hyperlink xmlns:r="http://schemas.openxmlformats.org/officeDocument/2006/relationships" ref="X35" r:id="rId159"/>
    <hyperlink xmlns:r="http://schemas.openxmlformats.org/officeDocument/2006/relationships" ref="C36" r:id="rId160"/>
    <hyperlink xmlns:r="http://schemas.openxmlformats.org/officeDocument/2006/relationships" ref="S36" r:id="rId161"/>
    <hyperlink xmlns:r="http://schemas.openxmlformats.org/officeDocument/2006/relationships" ref="U36" r:id="rId162"/>
    <hyperlink xmlns:r="http://schemas.openxmlformats.org/officeDocument/2006/relationships" ref="X36" r:id="rId163"/>
    <hyperlink xmlns:r="http://schemas.openxmlformats.org/officeDocument/2006/relationships" ref="C37" r:id="rId164"/>
    <hyperlink xmlns:r="http://schemas.openxmlformats.org/officeDocument/2006/relationships" ref="J37" r:id="rId165"/>
    <hyperlink xmlns:r="http://schemas.openxmlformats.org/officeDocument/2006/relationships" ref="S37" r:id="rId166"/>
    <hyperlink xmlns:r="http://schemas.openxmlformats.org/officeDocument/2006/relationships" ref="U37" r:id="rId167"/>
    <hyperlink xmlns:r="http://schemas.openxmlformats.org/officeDocument/2006/relationships" ref="X37" r:id="rId168"/>
    <hyperlink xmlns:r="http://schemas.openxmlformats.org/officeDocument/2006/relationships" ref="C38" r:id="rId169"/>
    <hyperlink xmlns:r="http://schemas.openxmlformats.org/officeDocument/2006/relationships" ref="S38" r:id="rId170"/>
    <hyperlink xmlns:r="http://schemas.openxmlformats.org/officeDocument/2006/relationships" ref="U38" r:id="rId171"/>
    <hyperlink xmlns:r="http://schemas.openxmlformats.org/officeDocument/2006/relationships" ref="X38" r:id="rId172"/>
    <hyperlink xmlns:r="http://schemas.openxmlformats.org/officeDocument/2006/relationships" ref="C39" r:id="rId173"/>
    <hyperlink xmlns:r="http://schemas.openxmlformats.org/officeDocument/2006/relationships" ref="S39" r:id="rId174"/>
    <hyperlink xmlns:r="http://schemas.openxmlformats.org/officeDocument/2006/relationships" ref="U39" r:id="rId175"/>
    <hyperlink xmlns:r="http://schemas.openxmlformats.org/officeDocument/2006/relationships" ref="X39" r:id="rId176"/>
    <hyperlink xmlns:r="http://schemas.openxmlformats.org/officeDocument/2006/relationships" ref="C40" r:id="rId177"/>
    <hyperlink xmlns:r="http://schemas.openxmlformats.org/officeDocument/2006/relationships" ref="S40" r:id="rId178"/>
    <hyperlink xmlns:r="http://schemas.openxmlformats.org/officeDocument/2006/relationships" ref="U40" r:id="rId179"/>
    <hyperlink xmlns:r="http://schemas.openxmlformats.org/officeDocument/2006/relationships" ref="X40" r:id="rId180"/>
    <hyperlink xmlns:r="http://schemas.openxmlformats.org/officeDocument/2006/relationships" ref="C41" r:id="rId181"/>
    <hyperlink xmlns:r="http://schemas.openxmlformats.org/officeDocument/2006/relationships" ref="J41" r:id="rId182"/>
    <hyperlink xmlns:r="http://schemas.openxmlformats.org/officeDocument/2006/relationships" ref="S41" r:id="rId183"/>
    <hyperlink xmlns:r="http://schemas.openxmlformats.org/officeDocument/2006/relationships" ref="U41" r:id="rId184"/>
    <hyperlink xmlns:r="http://schemas.openxmlformats.org/officeDocument/2006/relationships" ref="X41" r:id="rId185"/>
    <hyperlink xmlns:r="http://schemas.openxmlformats.org/officeDocument/2006/relationships" ref="C42" r:id="rId186"/>
    <hyperlink xmlns:r="http://schemas.openxmlformats.org/officeDocument/2006/relationships" ref="J42" r:id="rId187"/>
    <hyperlink xmlns:r="http://schemas.openxmlformats.org/officeDocument/2006/relationships" ref="S42" r:id="rId188"/>
    <hyperlink xmlns:r="http://schemas.openxmlformats.org/officeDocument/2006/relationships" ref="U42" r:id="rId189"/>
    <hyperlink xmlns:r="http://schemas.openxmlformats.org/officeDocument/2006/relationships" ref="X42" r:id="rId190"/>
    <hyperlink xmlns:r="http://schemas.openxmlformats.org/officeDocument/2006/relationships" ref="C43" r:id="rId191"/>
    <hyperlink xmlns:r="http://schemas.openxmlformats.org/officeDocument/2006/relationships" ref="S43" r:id="rId192"/>
    <hyperlink xmlns:r="http://schemas.openxmlformats.org/officeDocument/2006/relationships" ref="U43" r:id="rId193"/>
    <hyperlink xmlns:r="http://schemas.openxmlformats.org/officeDocument/2006/relationships" ref="X43" r:id="rId1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49"/>
  <sheetViews>
    <sheetView showGridLines="1" workbookViewId="0">
      <selection activeCell="A1" sqref="A1"/>
    </sheetView>
  </sheetViews>
  <sheetFormatPr baseColWidth="8" defaultRowHeight="15"/>
  <cols>
    <col width="34" customWidth="1" min="1" max="1"/>
    <col width="32" customWidth="1" min="2" max="2"/>
    <col width="49" customWidth="1" min="3" max="3"/>
    <col width="28" customWidth="1" min="4" max="4"/>
    <col width="38" customWidth="1" min="5" max="5"/>
    <col width="17" customWidth="1" min="6" max="6"/>
    <col width="65" customWidth="1" min="7" max="7"/>
    <col width="65" customWidth="1" min="8" max="8"/>
    <col width="65" customWidth="1" min="9" max="9"/>
    <col width="49" customWidth="1" min="10" max="10"/>
    <col width="53" customWidth="1" min="11" max="11"/>
    <col width="20" customWidth="1" min="12" max="12"/>
    <col width="65" customWidth="1" min="13" max="13"/>
    <col width="61" customWidth="1" min="14" max="14"/>
    <col width="65" customWidth="1" min="15" max="15"/>
    <col width="65" customWidth="1" min="16" max="16"/>
    <col width="65" customWidth="1" min="17" max="17"/>
    <col width="65" customWidth="1" min="18" max="18"/>
    <col width="32" customWidth="1" min="19" max="19"/>
    <col width="16" customWidth="1" min="20" max="20"/>
    <col width="49" customWidth="1" min="21" max="21"/>
    <col width="46" customWidth="1" min="22" max="22"/>
    <col width="18" customWidth="1" min="23" max="23"/>
    <col width="49" customWidth="1" min="24" max="24"/>
  </cols>
  <sheetData>
    <row r="1">
      <c r="A1" s="1" t="inlineStr">
        <is>
          <t>Name</t>
        </is>
      </c>
      <c r="B1" s="1" t="inlineStr">
        <is>
          <t>Job Title</t>
        </is>
      </c>
      <c r="C1" s="1" t="inlineStr">
        <is>
          <t>Email</t>
        </is>
      </c>
      <c r="D1" s="1" t="inlineStr">
        <is>
          <t>University</t>
        </is>
      </c>
      <c r="E1" s="1" t="inlineStr">
        <is>
          <t>Department</t>
        </is>
      </c>
      <c r="F1" s="1" t="inlineStr">
        <is>
          <t>Matched Count</t>
        </is>
      </c>
      <c r="G1" s="1" t="inlineStr">
        <is>
          <t>Matched Fields</t>
        </is>
      </c>
      <c r="H1" s="1" t="inlineStr">
        <is>
          <t>Actively Hiring / Openings</t>
        </is>
      </c>
      <c r="I1" s="1" t="inlineStr">
        <is>
          <t>Lab / Research Group Name</t>
        </is>
      </c>
      <c r="J1" s="1" t="inlineStr">
        <is>
          <t>Lab / Personal Website</t>
        </is>
      </c>
      <c r="K1" s="1" t="inlineStr">
        <is>
          <t>Target Skills / Prerequisites</t>
        </is>
      </c>
      <c r="L1" s="1" t="inlineStr">
        <is>
          <t>Funding Sponsors</t>
        </is>
      </c>
      <c r="M1" s="1" t="inlineStr">
        <is>
          <t>Software / Code Repo</t>
        </is>
      </c>
      <c r="N1" s="1" t="inlineStr">
        <is>
          <t>Latest Project / Highlight</t>
        </is>
      </c>
      <c r="O1" s="1" t="inlineStr">
        <is>
          <t>Research Interests</t>
        </is>
      </c>
      <c r="P1" s="1" t="inlineStr">
        <is>
          <t>Expertise Areas</t>
        </is>
      </c>
      <c r="Q1" s="1" t="inlineStr">
        <is>
          <t>Research / Bio Summary</t>
        </is>
      </c>
      <c r="R1" s="1" t="inlineStr">
        <is>
          <t>Education / Degrees</t>
        </is>
      </c>
      <c r="S1" s="1" t="inlineStr">
        <is>
          <t>Google Scholar URL</t>
        </is>
      </c>
      <c r="T1" s="1" t="inlineStr">
        <is>
          <t>Scholar ID</t>
        </is>
      </c>
      <c r="U1" s="1" t="inlineStr">
        <is>
          <t>Profile URL</t>
        </is>
      </c>
      <c r="V1" s="1" t="inlineStr">
        <is>
          <t>Office Location</t>
        </is>
      </c>
      <c r="W1" s="1" t="inlineStr">
        <is>
          <t>Is Field Match</t>
        </is>
      </c>
      <c r="X1" s="1" t="inlineStr">
        <is>
          <t>Directory URL</t>
        </is>
      </c>
    </row>
    <row r="2">
      <c r="A2" s="2" t="inlineStr">
        <is>
          <t>Mohamed Houssem Kasbaoui</t>
        </is>
      </c>
      <c r="B2" s="2" t="inlineStr">
        <is>
          <t>Associate Professor</t>
        </is>
      </c>
      <c r="C2" s="3">
        <f>HYPERLINK("mailto:houssem.kasbaoui@asu.edu", "houssem.kasbaoui@asu.edu")</f>
        <v/>
      </c>
      <c r="D2" s="2" t="inlineStr">
        <is>
          <t>Arizona State University</t>
        </is>
      </c>
      <c r="E2" s="2" t="inlineStr">
        <is>
          <t>Aerospace &amp; Mechanical Engineering</t>
        </is>
      </c>
      <c r="F2" s="2" t="n">
        <v>8</v>
      </c>
      <c r="G2" s="2" t="inlineStr">
        <is>
          <t>aerospace, cfd, computational fluid dynamics, dns, fluid dynamics, fluid-structure interaction, multiphase flow, turbulent</t>
        </is>
      </c>
      <c r="H2" s="2" t="inlineStr"/>
      <c r="I2" s="2" t="inlineStr">
        <is>
          <t>Multiphase Flow and Fluid-Structure Interaction Group</t>
        </is>
      </c>
      <c r="J2" s="3">
        <f>HYPERLINK("https://kasbaoui.bitbucket.io", "https://kasbaoui.bitbucket.io")</f>
        <v/>
      </c>
      <c r="K2" s="2" t="inlineStr">
        <is>
          <t>CFD</t>
        </is>
      </c>
      <c r="L2" s="2" t="inlineStr">
        <is>
          <t>AFOSR</t>
        </is>
      </c>
      <c r="M2" s="2" t="inlineStr">
        <is>
          <t>https://bitbucket.org/krgasu/leap/downloads/leap-v0.8.2.tar.gz, https://bitbucket.org/krgasu/leap/src/master</t>
        </is>
      </c>
      <c r="N2" s="2" t="inlineStr">
        <is>
          <t>School for Engineering of Matter, Transport &amp; Energy</t>
        </is>
      </c>
      <c r="O2" s="2" t="inlineStr"/>
      <c r="P2" s="2" t="inlineStr"/>
      <c r="Q2" s="2" t="inlineStr">
        <is>
          <t>Kasbaoui's research interests include computational fluid dynamics, numerical methods, and massively parallel simulations of multiphase and particle-laden flows for environmental and aerospace applications.</t>
        </is>
      </c>
      <c r="R2" s="2" t="inlineStr">
        <is>
          <t>Ph.D.  Aerospace Engineering, Cornell University, 2017 | M.Sc.  Aerospace Engineering, Cornell University, 2015 | M.Sc.  Theoretical Physics, Université Paris-Sud, 2014 | Diplôme d'Ingénieur , Ecole Centrale Paris, 2013 | B.Sc.  Theoretical Physics, Université Paris-Sud, 2011</t>
        </is>
      </c>
      <c r="S2" s="3">
        <f>HYPERLINK("https://scholar.google.com/citations?view_op=search_authors&amp;mauthors=Mohamed%20Houssem%20Kasbaoui%20Arizona%20State%20University", "Google Scholar Search")</f>
        <v/>
      </c>
      <c r="T2" s="2" t="inlineStr"/>
      <c r="U2" s="3">
        <f>HYPERLINK("https://search.asu.edu/profile/mkasbaou", "https://search.asu.edu/profile/mkasbaou")</f>
        <v/>
      </c>
      <c r="V2" s="2" t="inlineStr">
        <is>
          <t>Campus: Tempe</t>
        </is>
      </c>
      <c r="W2" s="2" t="b">
        <v>1</v>
      </c>
      <c r="X2" s="3">
        <f>HYPERLINK("https://faculty.engineering.asu.edu/directory/semte/aerospace-and-mechanical-engineering/", "https://faculty.engineering.asu.edu/directory/semte/aerospace-and-mechanical-engineering/")</f>
        <v/>
      </c>
    </row>
    <row r="3">
      <c r="A3" s="2" t="inlineStr">
        <is>
          <t>Liping Wang</t>
        </is>
      </c>
      <c r="B3" s="2" t="inlineStr">
        <is>
          <t>Associate Professor</t>
        </is>
      </c>
      <c r="C3" s="3">
        <f>HYPERLINK("mailto:Liping.Wang@asu.edu", "Liping.Wang@asu.edu")</f>
        <v/>
      </c>
      <c r="D3" s="2" t="inlineStr">
        <is>
          <t>Arizona State University</t>
        </is>
      </c>
      <c r="E3" s="2" t="inlineStr">
        <is>
          <t>Aerospace &amp; Mechanical Engineering</t>
        </is>
      </c>
      <c r="F3" s="2" t="n">
        <v>7</v>
      </c>
      <c r="G3" s="2" t="inlineStr">
        <is>
          <t>aerospace, guidance, heat transfer, materials, metamaterials, radiation, thermal</t>
        </is>
      </c>
      <c r="H3" s="2" t="inlineStr">
        <is>
          <t>Multiple UG/MS research positions available for Fall 2024 (volunteer) and Spring/Summer 2025 (possible FURI / MORE support)</t>
        </is>
      </c>
      <c r="I3" s="2" t="inlineStr">
        <is>
          <t>Nanoscale Thermal Radiation Lab</t>
        </is>
      </c>
      <c r="J3" s="3">
        <f>HYPERLINK("http://faculty.engineering.asu.edu/lpwang", "http://faculty.engineering.asu.edu/lpwang")</f>
        <v/>
      </c>
      <c r="K3" s="2" t="inlineStr"/>
      <c r="L3" s="2" t="inlineStr">
        <is>
          <t>NASA, NSF</t>
        </is>
      </c>
      <c r="M3" s="2" t="inlineStr"/>
      <c r="N3" s="2" t="inlineStr">
        <is>
          <t>News&amp;Awards</t>
        </is>
      </c>
      <c r="O3" s="2" t="inlineStr">
        <is>
          <t>Nanoscale heat transfer, metamaterials, plasmonics, and nanophotonics with an emphasis on solar thermal energy harvesting using plasmonic-enhanced light trapping for photovolatics, as well as near-field enhancement and spectral control of radiation for thermophotovoltaic energy conversion. Other research interests involve electronic cooling, MEMS, and bio-sensing.</t>
        </is>
      </c>
      <c r="P3" s="2" t="inlineStr"/>
      <c r="Q3" s="2" t="inlineStr">
        <is>
          <t>Wang research interests include selective control of thermal emission/absorption using meta-materials for energy harvesting and near-field radiation heat transfer enhancement between meta-materials for thermophotovoltaics.</t>
        </is>
      </c>
      <c r="R3" s="2" t="inlineStr">
        <is>
          <t>Ph.D. Mechanical Engineering, Georgia Institute of Technology 2011 | M.S. Refrigeration and Cryogenic Engineering, Shanghai Institute of Technical Physics, Chinese  Academy of Sciences 2007 | B.E. Thermal Science and Energy Engineering, University of Science and Technology of China 2004</t>
        </is>
      </c>
      <c r="S3" s="3">
        <f>HYPERLINK("https://scholar.google.com/citations?view_op=search_authors&amp;mauthors=Liping%20Wang%20Arizona%20State%20University", "Google Scholar Search")</f>
        <v/>
      </c>
      <c r="T3" s="2" t="inlineStr"/>
      <c r="U3" s="3">
        <f>HYPERLINK("https://search.asu.edu/profile/lwang78", "https://search.asu.edu/profile/lwang78")</f>
        <v/>
      </c>
      <c r="V3" s="2" t="inlineStr">
        <is>
          <t>ENGRC 327 (Tempe, AZ 85287-6106)</t>
        </is>
      </c>
      <c r="W3" s="2" t="b">
        <v>1</v>
      </c>
      <c r="X3" s="3">
        <f>HYPERLINK("https://faculty.engineering.asu.edu/directory/semte/aerospace-and-mechanical-engineering/", "https://faculty.engineering.asu.edu/directory/semte/aerospace-and-mechanical-engineering/")</f>
        <v/>
      </c>
    </row>
    <row r="4">
      <c r="A4" s="2" t="inlineStr">
        <is>
          <t>Jay Oswald</t>
        </is>
      </c>
      <c r="B4" s="2" t="inlineStr">
        <is>
          <t>Associate Professor</t>
        </is>
      </c>
      <c r="C4" s="3">
        <f>HYPERLINK("mailto:joswald1@asu.edu", "joswald1@asu.edu")</f>
        <v/>
      </c>
      <c r="D4" s="2" t="inlineStr">
        <is>
          <t>Arizona State University</t>
        </is>
      </c>
      <c r="E4" s="2" t="inlineStr">
        <is>
          <t>Aerospace &amp; Mechanical Engineering</t>
        </is>
      </c>
      <c r="F4" s="2" t="n">
        <v>6</v>
      </c>
      <c r="G4" s="2" t="inlineStr">
        <is>
          <t>estimation, finite element, materials, robot, robotics, solid mechanics</t>
        </is>
      </c>
      <c r="H4" s="2" t="inlineStr"/>
      <c r="I4" s="2" t="inlineStr">
        <is>
          <t>Computational Mechanics Lab</t>
        </is>
      </c>
      <c r="J4" s="3">
        <f>HYPERLINK("http://sparky.fulton.asu.edu/oswald/", "http://sparky.fulton.asu.edu/oswald/")</f>
        <v/>
      </c>
      <c r="K4" s="2" t="inlineStr"/>
      <c r="L4" s="2" t="inlineStr"/>
      <c r="M4" s="2" t="inlineStr"/>
      <c r="N4" s="2" t="inlineStr">
        <is>
          <t>Multiscale polymer analysis</t>
        </is>
      </c>
      <c r="O4" s="2" t="inlineStr">
        <is>
          <t>Development of computational mechanics: finite element methods, molecular dynamics, multiscale methods, failure analysis, and material design.</t>
        </is>
      </c>
      <c r="P4" s="2" t="inlineStr"/>
      <c r="Q4" s="2" t="inlineStr">
        <is>
          <t>Dr. Oswald develops computational and AI-driven methods for advanced manufacturing, including laser welding, automated inspection, robotics, and computational mechanics.</t>
        </is>
      </c>
      <c r="R4" s="2" t="inlineStr">
        <is>
          <t>Ph.D. Mechanical Engineering, Northwestern University, Evanston, IL 2011 | M.S. Mechanical Engineering, Case Western Reserve University, Cleveland, OH 2005 | B.S. Mechanical Engineering, Case Western Reserve University, Cleveland, OH 2004</t>
        </is>
      </c>
      <c r="S4" s="3">
        <f>HYPERLINK("https://scholar.google.com/citations?view_op=search_authors&amp;mauthors=Jay%20Oswald%20Arizona%20State%20University", "Google Scholar Search")</f>
        <v/>
      </c>
      <c r="T4" s="2" t="inlineStr"/>
      <c r="U4" s="3">
        <f>HYPERLINK("https://search.asu.edu/profile/joswald1", "https://search.asu.edu/profile/joswald1")</f>
        <v/>
      </c>
      <c r="V4" s="2" t="inlineStr">
        <is>
          <t>ENGRC 353 (Tempe, AZ 85287-6106)</t>
        </is>
      </c>
      <c r="W4" s="2" t="b">
        <v>1</v>
      </c>
      <c r="X4" s="3">
        <f>HYPERLINK("https://faculty.engineering.asu.edu/directory/semte/aerospace-and-mechanical-engineering/", "https://faculty.engineering.asu.edu/directory/semte/aerospace-and-mechanical-engineering/")</f>
        <v/>
      </c>
    </row>
    <row r="5">
      <c r="A5" s="2" t="inlineStr">
        <is>
          <t>Jiefeng Sun</t>
        </is>
      </c>
      <c r="B5" s="2" t="inlineStr">
        <is>
          <t>Assistant Professor</t>
        </is>
      </c>
      <c r="C5" s="3">
        <f>HYPERLINK("mailto:Jiefeng.Sun@asu.edu", "Jiefeng.Sun@asu.edu")</f>
        <v/>
      </c>
      <c r="D5" s="2" t="inlineStr">
        <is>
          <t>Arizona State University</t>
        </is>
      </c>
      <c r="E5" s="2" t="inlineStr">
        <is>
          <t>Aerospace &amp; Mechanical Engineering</t>
        </is>
      </c>
      <c r="F5" s="2" t="n">
        <v>6</v>
      </c>
      <c r="G5" s="2" t="inlineStr">
        <is>
          <t>aerospace, autonomous, materials, robot, robotics, smart materials</t>
        </is>
      </c>
      <c r="H5" s="2" t="inlineStr">
        <is>
          <t>Dec 19, 2025 We have two openings for fully supported summer interns through SURI program at ASU</t>
        </is>
      </c>
      <c r="I5" s="2" t="inlineStr">
        <is>
          <t>Sun Robotics Lab</t>
        </is>
      </c>
      <c r="J5" s="3">
        <f>HYPERLINK("https://sunroboticslab.github.io", "https://sunroboticslab.github.io")</f>
        <v/>
      </c>
      <c r="K5" s="2" t="inlineStr"/>
      <c r="L5" s="2" t="inlineStr"/>
      <c r="M5" s="2" t="inlineStr"/>
      <c r="N5" s="2" t="inlineStr">
        <is>
          <t>Mission and Core Values</t>
        </is>
      </c>
      <c r="O5" s="2" t="inlineStr">
        <is>
          <t>Hire students to conduct research https://sunroboticslab.github.io</t>
        </is>
      </c>
      <c r="P5" s="2" t="inlineStr">
        <is>
          <t>Autonomous Technologies, Control Systems, Mechanical Engineering, Robotics</t>
        </is>
      </c>
      <c r="Q5" s="2" t="inlineStr">
        <is>
          <t>Sun's research focuses on the design, dynamics, and control of soft robots and artificial muscles</t>
        </is>
      </c>
      <c r="R5" s="2" t="inlineStr">
        <is>
          <t>Ph.D. in Robotics and Control, Colorado State University, 2022 M.S. in Mechanical Engineering, Dalian University of Technology, 2017 B.S. in Mechanical Engineering, Lanzhou University of Technology, 2014</t>
        </is>
      </c>
      <c r="S5" s="3">
        <f>HYPERLINK("https://scholar.google.com/citations?hl=en&amp;user=fjUoHOsAAAAJ", "Scholar (fjUoHOsAAAAJ)")</f>
        <v/>
      </c>
      <c r="T5" s="2" t="inlineStr">
        <is>
          <t>fjUoHOsAAAAJ</t>
        </is>
      </c>
      <c r="U5" s="3">
        <f>HYPERLINK("https://search.asu.edu/profile/jsun165", "https://search.asu.edu/profile/jsun165")</f>
        <v/>
      </c>
      <c r="V5" s="2" t="inlineStr">
        <is>
          <t>Campus: Tempe</t>
        </is>
      </c>
      <c r="W5" s="2" t="b">
        <v>1</v>
      </c>
      <c r="X5" s="3">
        <f>HYPERLINK("https://faculty.engineering.asu.edu/directory/semte/aerospace-and-mechanical-engineering/", "https://faculty.engineering.asu.edu/directory/semte/aerospace-and-mechanical-engineering/")</f>
        <v/>
      </c>
    </row>
    <row r="6">
      <c r="A6" s="2" t="inlineStr">
        <is>
          <t>Kangping Chen</t>
        </is>
      </c>
      <c r="B6" s="2" t="inlineStr">
        <is>
          <t>Associate Professor</t>
        </is>
      </c>
      <c r="C6" s="3">
        <f>HYPERLINK("mailto:k.p.chen@asu.edu", "k.p.chen@asu.edu")</f>
        <v/>
      </c>
      <c r="D6" s="2" t="inlineStr">
        <is>
          <t>Arizona State University</t>
        </is>
      </c>
      <c r="E6" s="2" t="inlineStr">
        <is>
          <t>Aerospace &amp; Mechanical Engineering</t>
        </is>
      </c>
      <c r="F6" s="2" t="n">
        <v>6</v>
      </c>
      <c r="G6" s="2" t="inlineStr">
        <is>
          <t>aerospace, computational fluid dynamics, fluid dynamics, fluid mechanics, guidance, multiphase flow</t>
        </is>
      </c>
      <c r="H6" s="2" t="inlineStr"/>
      <c r="I6" s="2" t="inlineStr"/>
      <c r="J6" s="2" t="inlineStr"/>
      <c r="K6" s="2" t="inlineStr"/>
      <c r="L6" s="2" t="inlineStr"/>
      <c r="M6" s="2" t="inlineStr"/>
      <c r="N6" s="2" t="inlineStr"/>
      <c r="O6" s="2" t="inlineStr"/>
      <c r="P6" s="2" t="inlineStr"/>
      <c r="Q6" s="2" t="inlineStr">
        <is>
          <t>Chen’s research interests include multiphase flows, drag reduction, airplane de-icing, interfacial instabilities and flow in porous media.</t>
        </is>
      </c>
      <c r="R6" s="2" t="inlineStr">
        <is>
          <t>Ph.D. Fluid Mechanics, University of Minnesota 1990 | B.S. Mechanics, Peking University, China 1982</t>
        </is>
      </c>
      <c r="S6" s="3">
        <f>HYPERLINK("https://scholar.google.com/citations?hl=en&amp;user=xT-lX9sAAAAJ", "Scholar (xT-lX9sAAAAJ)")</f>
        <v/>
      </c>
      <c r="T6" s="2" t="inlineStr">
        <is>
          <t>xT-lX9sAAAAJ</t>
        </is>
      </c>
      <c r="U6" s="3">
        <f>HYPERLINK("https://search.asu.edu/profile/asuchen", "https://search.asu.edu/profile/asuchen")</f>
        <v/>
      </c>
      <c r="V6" s="2" t="inlineStr">
        <is>
          <t>ENGRC 361 (TEMPE, AZ 85287-6106)</t>
        </is>
      </c>
      <c r="W6" s="2" t="b">
        <v>1</v>
      </c>
      <c r="X6" s="3">
        <f>HYPERLINK("https://faculty.engineering.asu.edu/directory/semte/aerospace-and-mechanical-engineering/", "https://faculty.engineering.asu.edu/directory/semte/aerospace-and-mechanical-engineering/")</f>
        <v/>
      </c>
    </row>
    <row r="7">
      <c r="A7" s="2" t="inlineStr">
        <is>
          <t>Kiran Ramesh</t>
        </is>
      </c>
      <c r="B7" s="2" t="inlineStr">
        <is>
          <t>Associate Professor</t>
        </is>
      </c>
      <c r="C7" s="3">
        <f>HYPERLINK("mailto:Kiran.Ramesh@asu.edu", "Kiran.Ramesh@asu.edu")</f>
        <v/>
      </c>
      <c r="D7" s="2" t="inlineStr">
        <is>
          <t>Arizona State University</t>
        </is>
      </c>
      <c r="E7" s="2" t="inlineStr">
        <is>
          <t>Aerospace &amp; Mechanical Engineering</t>
        </is>
      </c>
      <c r="F7" s="2" t="n">
        <v>6</v>
      </c>
      <c r="G7" s="2" t="inlineStr">
        <is>
          <t>aerodynamics, aerospace, flow control, fluid dynamics, turbulence, vortex dynamics</t>
        </is>
      </c>
      <c r="H7" s="2" t="inlineStr"/>
      <c r="I7" s="2" t="inlineStr"/>
      <c r="J7" s="2" t="inlineStr"/>
      <c r="K7" s="2" t="inlineStr"/>
      <c r="L7" s="2" t="inlineStr"/>
      <c r="M7" s="2" t="inlineStr"/>
      <c r="N7" s="2" t="inlineStr"/>
      <c r="O7" s="2" t="inlineStr">
        <is>
          <t>Unsteady aerodynamics, vortex dynamics, flow control, turbulence, separated flows</t>
        </is>
      </c>
      <c r="P7" s="2" t="inlineStr"/>
      <c r="Q7" s="2" t="inlineStr">
        <is>
          <t>Ramesh's expertise is in unsteady fluid dynamics, vortex dynamics, turbulence and flow control.</t>
        </is>
      </c>
      <c r="R7" s="2" t="inlineStr">
        <is>
          <t>PhD North Carolina State University</t>
        </is>
      </c>
      <c r="S7" s="3">
        <f>HYPERLINK("https://scholar.google.com/citations?hl=en&amp;user=DKc-AgcAAAAJ", "Scholar (DKc-AgcAAAAJ)")</f>
        <v/>
      </c>
      <c r="T7" s="2" t="inlineStr">
        <is>
          <t>DKc-AgcAAAAJ</t>
        </is>
      </c>
      <c r="U7" s="3">
        <f>HYPERLINK("https://search.asu.edu/profile/kramesh2", "https://search.asu.edu/profile/kramesh2")</f>
        <v/>
      </c>
      <c r="V7" s="2" t="inlineStr"/>
      <c r="W7" s="2" t="b">
        <v>1</v>
      </c>
      <c r="X7" s="3">
        <f>HYPERLINK("https://faculty.engineering.asu.edu/directory/semte/aerospace-and-mechanical-engineering/", "https://faculty.engineering.asu.edu/directory/semte/aerospace-and-mechanical-engineering/")</f>
        <v/>
      </c>
    </row>
    <row r="8">
      <c r="A8" s="2" t="inlineStr">
        <is>
          <t>Kunal Garg</t>
        </is>
      </c>
      <c r="B8" s="2" t="inlineStr">
        <is>
          <t>Assistant Professor</t>
        </is>
      </c>
      <c r="C8" s="3">
        <f>HYPERLINK("mailto:kgarg24@asu.edu", "kgarg24@asu.edu")</f>
        <v/>
      </c>
      <c r="D8" s="2" t="inlineStr">
        <is>
          <t>Arizona State University</t>
        </is>
      </c>
      <c r="E8" s="2" t="inlineStr">
        <is>
          <t>Aerospace &amp; Mechanical Engineering</t>
        </is>
      </c>
      <c r="F8" s="2" t="n">
        <v>6</v>
      </c>
      <c r="G8" s="2" t="inlineStr">
        <is>
          <t>aerospace, autonomous, control theory, motion planning, robot, robotics</t>
        </is>
      </c>
      <c r="H8" s="2" t="inlineStr">
        <is>
          <t>Actively seeking graduate students (see bio/lab link)</t>
        </is>
      </c>
      <c r="I8" s="2" t="inlineStr">
        <is>
          <t>Safe and Autonomous Robotics (STAR) Lab</t>
        </is>
      </c>
      <c r="J8" s="3">
        <f>HYPERLINK("https://sites.google.com/asu.edu/kunalgarg/", "https://sites.google.com/asu.edu/kunalgarg/")</f>
        <v/>
      </c>
      <c r="K8" s="2" t="inlineStr">
        <is>
          <t>Python, PyTorch, ROS, ROS2, C/C++, Linear Algebra</t>
        </is>
      </c>
      <c r="L8" s="2" t="inlineStr"/>
      <c r="M8" s="2" t="inlineStr"/>
      <c r="N8" s="2" t="inlineStr"/>
      <c r="O8" s="2" t="inlineStr">
        <is>
          <t>Distributed multi-agent motion planning and control, Provably safe control design using machine learning-based certificates, Foundation models in complex robotic tasks, Failure prediction from limited demonstrations, Human-robot interaction.</t>
        </is>
      </c>
      <c r="P8" s="2" t="inlineStr">
        <is>
          <t>Control Systems, Dynamical Systems, Machine Learning, Nonlinear Dynamical Systems, Robotics</t>
        </is>
      </c>
      <c r="Q8" s="2" t="inlineStr">
        <is>
          <t>Garg's research interests include control synthesis for multi-agent coordination using control theory and machine learning.</t>
        </is>
      </c>
      <c r="R8" s="2" t="inlineStr">
        <is>
          <t>PhD. Aerospace Engineering, University of Michigan, Ann Arbor, 2021 MS. Aerospace Engineering, University of Michigan, Ann Arbor, 2019 BTech. Aerospace Engineering, Indian Institute of Technology, Bombay, 2016</t>
        </is>
      </c>
      <c r="S8" s="3">
        <f>HYPERLINK("https://scholar.google.com/citations?hl=en&amp;user=vs3pl-8AAAAJ", "Scholar (vs3pl-8AAAAJ)")</f>
        <v/>
      </c>
      <c r="T8" s="2" t="inlineStr">
        <is>
          <t>vs3pl-8AAAAJ</t>
        </is>
      </c>
      <c r="U8" s="3">
        <f>HYPERLINK("https://search.asu.edu/profile/kgarg24", "https://search.asu.edu/profile/kgarg24")</f>
        <v/>
      </c>
      <c r="V8" s="2" t="inlineStr">
        <is>
          <t>551 E Tyler Mall ERC 475 (Tempe, AZ 85281)</t>
        </is>
      </c>
      <c r="W8" s="2" t="b">
        <v>1</v>
      </c>
      <c r="X8" s="3">
        <f>HYPERLINK("https://faculty.engineering.asu.edu/directory/semte/aerospace-and-mechanical-engineering/", "https://faculty.engineering.asu.edu/directory/semte/aerospace-and-mechanical-engineering/")</f>
        <v/>
      </c>
    </row>
    <row r="9">
      <c r="A9" s="2" t="inlineStr">
        <is>
          <t>Leixin Ma</t>
        </is>
      </c>
      <c r="B9" s="2" t="inlineStr">
        <is>
          <t>Assistant Professor</t>
        </is>
      </c>
      <c r="C9" s="3">
        <f>HYPERLINK("mailto:Leixin.Ma@asu.edu", "Leixin.Ma@asu.edu")</f>
        <v/>
      </c>
      <c r="D9" s="2" t="inlineStr">
        <is>
          <t>Arizona State University</t>
        </is>
      </c>
      <c r="E9" s="2" t="inlineStr">
        <is>
          <t>Aerospace &amp; Mechanical Engineering</t>
        </is>
      </c>
      <c r="F9" s="2" t="n">
        <v>6</v>
      </c>
      <c r="G9" s="2" t="inlineStr">
        <is>
          <t>aerodynamics, aerospace, fluid-structure interaction, fluids, materials, robot</t>
        </is>
      </c>
      <c r="H9" s="2" t="inlineStr">
        <is>
          <t>Actively recruiting / Openings mentioned on lab site</t>
        </is>
      </c>
      <c r="I9" s="2" t="inlineStr">
        <is>
          <t>Optimization, Autonomy, and Soft Intelligence Systems (OASIS) Lab</t>
        </is>
      </c>
      <c r="J9" s="3">
        <f>HYPERLINK("https://sites.google.com/view/oasislabasu", "https://sites.google.com/view/oasislabasu")</f>
        <v/>
      </c>
      <c r="K9" s="2" t="inlineStr"/>
      <c r="L9" s="2" t="inlineStr"/>
      <c r="M9" s="2" t="inlineStr"/>
      <c r="N9" s="2" t="inlineStr">
        <is>
          <t>Ocean and Soft Intelligent Structure Interaction Lab</t>
        </is>
      </c>
      <c r="O9" s="2" t="inlineStr">
        <is>
          <t>Aerodynamics, Dynamical Systems, Machine Learning, Mechanics of Composite Materials</t>
        </is>
      </c>
      <c r="P9" s="2" t="inlineStr">
        <is>
          <t>Aerodynamics, Dynamical Systems, Machine Learning, Mechanics of Composite Materials</t>
        </is>
      </c>
      <c r="Q9" s="2" t="inlineStr">
        <is>
          <t>Leixin Ma's career goal is a data-driven and physically consistent approach to modeling and designing programmable smart structures and robots, especially under complex fluid flow conditions.</t>
        </is>
      </c>
      <c r="R9" s="2" t="inlineStr">
        <is>
          <t>Ph.D. in Mechanical Engineering, Massachusetts Institute of Technology, 2021 S.M. in Mechanical Engineering, Massachusetts Institute of Technology, 2017 B.S.E. in Naval Architecture and Ocean Engineering, Shanghai Jiao Tong University, 2015</t>
        </is>
      </c>
      <c r="S9" s="3">
        <f>HYPERLINK("https://scholar.google.com/citations?hl=en&amp;user=2xQTOc0AAAAJ", "Scholar (2xQTOc0AAAAJ)")</f>
        <v/>
      </c>
      <c r="T9" s="2" t="inlineStr">
        <is>
          <t>2xQTOc0AAAAJ</t>
        </is>
      </c>
      <c r="U9" s="3">
        <f>HYPERLINK("https://search.asu.edu/profile/leixinma", "https://search.asu.edu/profile/leixinma")</f>
        <v/>
      </c>
      <c r="V9" s="2" t="inlineStr"/>
      <c r="W9" s="2" t="b">
        <v>1</v>
      </c>
      <c r="X9" s="3">
        <f>HYPERLINK("https://faculty.engineering.asu.edu/directory/semte/aerospace-and-mechanical-engineering/", "https://faculty.engineering.asu.edu/directory/semte/aerospace-and-mechanical-engineering/")</f>
        <v/>
      </c>
    </row>
    <row r="10">
      <c r="A10" s="2" t="inlineStr">
        <is>
          <t>Gokul Pathikonda</t>
        </is>
      </c>
      <c r="B10" s="2" t="inlineStr">
        <is>
          <t>Assistant Professor</t>
        </is>
      </c>
      <c r="C10" s="3">
        <f>HYPERLINK("mailto:Gokul.Pathikonda@asu.edu", "Gokul.Pathikonda@asu.edu")</f>
        <v/>
      </c>
      <c r="D10" s="2" t="inlineStr">
        <is>
          <t>Arizona State University</t>
        </is>
      </c>
      <c r="E10" s="2" t="inlineStr">
        <is>
          <t>Aerospace &amp; Mechanical Engineering</t>
        </is>
      </c>
      <c r="F10" s="2" t="n">
        <v>5</v>
      </c>
      <c r="G10" s="2" t="inlineStr">
        <is>
          <t>aerodynamics, aerospace, reacting flow, turbulence, turbulent</t>
        </is>
      </c>
      <c r="H10" s="2" t="inlineStr"/>
      <c r="I10" s="2" t="inlineStr"/>
      <c r="J10" s="3">
        <f>HYPERLINK("https://faculty.engineering.asu.edu/cmat/", "https://faculty.engineering.asu.edu/cmat/")</f>
        <v/>
      </c>
      <c r="K10" s="2" t="inlineStr"/>
      <c r="L10" s="2" t="inlineStr"/>
      <c r="M10" s="2" t="inlineStr"/>
      <c r="N10" s="2" t="inlineStr">
        <is>
          <t>Want to be part of CMAT Lab?</t>
        </is>
      </c>
      <c r="O10" s="2" t="inlineStr">
        <is>
          <t>Aerodynamics, Aerospace Engineering, Mechanical Engineering</t>
        </is>
      </c>
      <c r="P10" s="2" t="inlineStr">
        <is>
          <t>Aerodynamics, Aerospace Engineering, Mechanical Engineering</t>
        </is>
      </c>
      <c r="Q10" s="2" t="inlineStr">
        <is>
          <t>Dr. Pathikonda studies turbulent fluid flows to understand natural and engineering phenomena using lab experiments. His expertise is in complex (reacting) mixing, high Re-flows, laser-based &amp; spectroscopic techniques, etc.</t>
        </is>
      </c>
      <c r="R10" s="2" t="inlineStr">
        <is>
          <t>Ph. D. Theoretical and Applied Mechanics, University of Illinois, Urbana Champaign, 2017 | MS Aerospace Engineering, University of Illinois, Urbana Champaign, 2013 | B. Tech. Mechanical Engineering, National Institute of Technology, Warangal, 2009</t>
        </is>
      </c>
      <c r="S10" s="3">
        <f>HYPERLINK("https://scholar.google.com/citations?view_op=search_authors&amp;mauthors=Gokul%20Pathikonda%20Arizona%20State%20University", "Google Scholar Search")</f>
        <v/>
      </c>
      <c r="T10" s="2" t="inlineStr"/>
      <c r="U10" s="3">
        <f>HYPERLINK("https://search.asu.edu/profile/gpathiko", "https://search.asu.edu/profile/gpathiko")</f>
        <v/>
      </c>
      <c r="V10" s="2" t="inlineStr">
        <is>
          <t>551 E Tyler Mall ERC 479 (Tempe, AZ 85281)</t>
        </is>
      </c>
      <c r="W10" s="2" t="b">
        <v>1</v>
      </c>
      <c r="X10" s="3">
        <f>HYPERLINK("https://faculty.engineering.asu.edu/directory/semte/aerospace-and-mechanical-engineering/", "https://faculty.engineering.asu.edu/directory/semte/aerospace-and-mechanical-engineering/")</f>
        <v/>
      </c>
    </row>
    <row r="11">
      <c r="A11" s="2" t="inlineStr">
        <is>
          <t>Marcus Herrmann</t>
        </is>
      </c>
      <c r="B11" s="2" t="inlineStr">
        <is>
          <t>Professor</t>
        </is>
      </c>
      <c r="C11" s="3">
        <f>HYPERLINK("mailto:Marcus.Herrmann@asu.edu", "Marcus.Herrmann@asu.edu")</f>
        <v/>
      </c>
      <c r="D11" s="2" t="inlineStr">
        <is>
          <t>Arizona State University</t>
        </is>
      </c>
      <c r="E11" s="2" t="inlineStr">
        <is>
          <t>Aerospace &amp; Mechanical Engineering</t>
        </is>
      </c>
      <c r="F11" s="2" t="n">
        <v>5</v>
      </c>
      <c r="G11" s="2" t="inlineStr">
        <is>
          <t>aerospace, fluid mechanics, multiphase flow, turbulence, turbulent</t>
        </is>
      </c>
      <c r="H11" s="2" t="inlineStr"/>
      <c r="I11" s="2" t="inlineStr">
        <is>
          <t>Computational Multiphase Physics Laboratory</t>
        </is>
      </c>
      <c r="J11" s="2" t="inlineStr"/>
      <c r="K11" s="2" t="inlineStr"/>
      <c r="L11" s="2" t="inlineStr"/>
      <c r="M11" s="2" t="inlineStr"/>
      <c r="N11" s="2" t="inlineStr"/>
      <c r="O11" s="2" t="inlineStr"/>
      <c r="P11" s="2" t="inlineStr"/>
      <c r="Q11" s="2" t="inlineStr">
        <is>
          <t>Herrmann's research interests include fluid mechanics, modeling and numerical simulation of multiphase flows with a focus on turbulent atomization processes, and numerical methods for discontinuous interfaces.</t>
        </is>
      </c>
      <c r="R11" s="2" t="inlineStr">
        <is>
          <t>PhD in Mechanical Engineering, University of Technology (RWTH) Aachen, Germany 2001 | Diploma. Mechanical and Aerospace Engineering, University of Technology (RWTH) Aachen, Germany 1995</t>
        </is>
      </c>
      <c r="S11" s="3">
        <f>HYPERLINK("https://scholar.google.com/citations?hl=en&amp;user=yv6aCW8AAAAJ", "Scholar (yv6aCW8AAAAJ)")</f>
        <v/>
      </c>
      <c r="T11" s="2" t="inlineStr">
        <is>
          <t>yv6aCW8AAAAJ</t>
        </is>
      </c>
      <c r="U11" s="3">
        <f>HYPERLINK("https://search.asu.edu/profile/mherrma1", "https://search.asu.edu/profile/mherrma1")</f>
        <v/>
      </c>
      <c r="V11" s="2" t="inlineStr"/>
      <c r="W11" s="2" t="b">
        <v>1</v>
      </c>
      <c r="X11" s="3">
        <f>HYPERLINK("https://faculty.engineering.asu.edu/directory/semte/aerospace-and-mechanical-engineering/", "https://faculty.engineering.asu.edu/directory/semte/aerospace-and-mechanical-engineering/")</f>
        <v/>
      </c>
    </row>
    <row r="12">
      <c r="A12" s="2" t="inlineStr">
        <is>
          <t>Spring Berman</t>
        </is>
      </c>
      <c r="B12" s="2" t="inlineStr">
        <is>
          <t>Professor</t>
        </is>
      </c>
      <c r="C12" s="3">
        <f>HYPERLINK("mailto:Spring.Berman@asu.edu", "Spring.Berman@asu.edu")</f>
        <v/>
      </c>
      <c r="D12" s="2" t="inlineStr">
        <is>
          <t>Arizona State University</t>
        </is>
      </c>
      <c r="E12" s="2" t="inlineStr">
        <is>
          <t>Aerospace &amp; Mechanical Engineering</t>
        </is>
      </c>
      <c r="F12" s="2" t="n">
        <v>5</v>
      </c>
      <c r="G12" s="2" t="inlineStr">
        <is>
          <t>aerospace, autonomous, control theory, robot, robotics</t>
        </is>
      </c>
      <c r="H12" s="2" t="inlineStr"/>
      <c r="I12" s="2" t="inlineStr">
        <is>
          <t>Autonomous Collective Systems (ACS) Laboratory</t>
        </is>
      </c>
      <c r="J12" s="3">
        <f>HYPERLINK("http://faculty.engineering.asu.edu/acs/", "http://faculty.engineering.asu.edu/acs/")</f>
        <v/>
      </c>
      <c r="K12" s="2" t="inlineStr"/>
      <c r="L12" s="2" t="inlineStr"/>
      <c r="M12" s="2" t="inlineStr"/>
      <c r="N12" s="2" t="inlineStr"/>
      <c r="O12" s="2" t="inlineStr">
        <is>
          <t>Modeling, analysis, control, and optimization of multi-robot systems including robotic swarms; analysis of collective behaviors in biology and biologically-inspired control of distributed systems</t>
        </is>
      </c>
      <c r="P12" s="2" t="inlineStr">
        <is>
          <t>Systems and Control Theory, Mechanical Engineering, Autonomous Technologies, Robotics</t>
        </is>
      </c>
      <c r="Q12" s="2" t="inlineStr">
        <is>
          <t>Dr. Berman directs the Autonomous Collective Systems Laboratory at ASU, which models and analyzes behaviors in biological and engineered collectives and designs control strategies for multi-robot systems.</t>
        </is>
      </c>
      <c r="R12" s="2" t="inlineStr">
        <is>
          <t>Ph.D. Mechanical Engineering and Applied Mechanics, University of Pennsylvania 2010 | M.S.E. Mechanical Engineering and Applied Mechanics, University of Pennsylvania 2008 | B.S.E. Mechanical and Aerospace Engineering, Princeton University 2005 | Certificate. Robotics and Intelligent Systems, Princeton University 2005</t>
        </is>
      </c>
      <c r="S12" s="3">
        <f>HYPERLINK("https://scholar.google.com/citations?hl=en&amp;user=KKup0OgAAAAJ", "Scholar (KKup0OgAAAAJ)")</f>
        <v/>
      </c>
      <c r="T12" s="2" t="inlineStr">
        <is>
          <t>KKup0OgAAAAJ</t>
        </is>
      </c>
      <c r="U12" s="3">
        <f>HYPERLINK("https://search.asu.edu/profile/smberma2", "https://search.asu.edu/profile/smberma2")</f>
        <v/>
      </c>
      <c r="V12" s="2" t="inlineStr">
        <is>
          <t>ENGRC 375 (Tempe, AZ 85287-6106)</t>
        </is>
      </c>
      <c r="W12" s="2" t="b">
        <v>1</v>
      </c>
      <c r="X12" s="3">
        <f>HYPERLINK("https://faculty.engineering.asu.edu/directory/semte/aerospace-and-mechanical-engineering/", "https://faculty.engineering.asu.edu/directory/semte/aerospace-and-mechanical-engineering/")</f>
        <v/>
      </c>
    </row>
    <row r="13">
      <c r="A13" s="2" t="inlineStr">
        <is>
          <t>Zhe Xu</t>
        </is>
      </c>
      <c r="B13" s="2" t="inlineStr">
        <is>
          <t>Assistant Professor</t>
        </is>
      </c>
      <c r="C13" s="3">
        <f>HYPERLINK("mailto:xzhe1@asu.edu", "xzhe1@asu.edu")</f>
        <v/>
      </c>
      <c r="D13" s="2" t="inlineStr">
        <is>
          <t>Arizona State University</t>
        </is>
      </c>
      <c r="E13" s="2" t="inlineStr">
        <is>
          <t>Aerospace &amp; Mechanical Engineering</t>
        </is>
      </c>
      <c r="F13" s="2" t="n">
        <v>5</v>
      </c>
      <c r="G13" s="2" t="inlineStr">
        <is>
          <t>autonomous, control theory, energy systems, robot, robotics</t>
        </is>
      </c>
      <c r="H13" s="2" t="inlineStr"/>
      <c r="I13" s="2" t="inlineStr"/>
      <c r="J13" s="3">
        <f>HYPERLINK("https://sites.google.com/site/zhexudavid00710/research?authuser=0", "https://sites.google.com/site/zhexudavid00710/research?authuser=0")</f>
        <v/>
      </c>
      <c r="K13" s="2" t="inlineStr"/>
      <c r="L13" s="2" t="inlineStr"/>
      <c r="M13" s="2" t="inlineStr"/>
      <c r="N13" s="2" t="inlineStr"/>
      <c r="O13" s="2" t="inlineStr">
        <is>
          <t>The research interests include control theory, machine learning, formal methods and autonomous systems.</t>
        </is>
      </c>
      <c r="P13" s="2" t="inlineStr">
        <is>
          <t>Artificial Intelligence, Control Systems, Electric Power and Energy Systems, Machine Learning, Robotics, Systems and Control Theory</t>
        </is>
      </c>
      <c r="Q13" s="2" t="inlineStr">
        <is>
          <t>My research interests include control theory, formal methods, and machine learning (including reinforcement learning), with applications on autonomous systems and cyber-physical systems.</t>
        </is>
      </c>
      <c r="R13" s="2" t="inlineStr">
        <is>
          <t>Ph.D Degree at the  Department of Electrical, Computer, and Systems Engineering  at  Rensselaer Polytechnic Institute  in 2018 | Master's Degree at the  School of electrical and information engineering  at  Tianjin University  in 2014 | Bachelor's Degree at the  School of electrical and information engineering  at  Tianjin University  in 2011</t>
        </is>
      </c>
      <c r="S13" s="3">
        <f>HYPERLINK("https://scholar.google.com/citations?view_op=search_authors&amp;mauthors=Zhe%20Xu%20Arizona%20State%20University", "Google Scholar Search")</f>
        <v/>
      </c>
      <c r="T13" s="2" t="inlineStr"/>
      <c r="U13" s="3">
        <f>HYPERLINK("https://search.asu.edu/profile/xzhe1", "https://search.asu.edu/profile/xzhe1")</f>
        <v/>
      </c>
      <c r="V13" s="2" t="inlineStr">
        <is>
          <t>Campus: Tempe</t>
        </is>
      </c>
      <c r="W13" s="2" t="b">
        <v>1</v>
      </c>
      <c r="X13" s="3">
        <f>HYPERLINK("https://faculty.engineering.asu.edu/directory/semte/aerospace-and-mechanical-engineering/", "https://faculty.engineering.asu.edu/directory/semte/aerospace-and-mechanical-engineering/")</f>
        <v/>
      </c>
    </row>
    <row r="14">
      <c r="A14" s="2" t="inlineStr">
        <is>
          <t>Jeonglae Kim</t>
        </is>
      </c>
      <c r="B14" s="2" t="inlineStr">
        <is>
          <t>Assistant Professor</t>
        </is>
      </c>
      <c r="C14" s="3">
        <f>HYPERLINK("mailto:jeokim@asu.edu", "jeokim@asu.edu")</f>
        <v/>
      </c>
      <c r="D14" s="2" t="inlineStr">
        <is>
          <t>Arizona State University</t>
        </is>
      </c>
      <c r="E14" s="2" t="inlineStr">
        <is>
          <t>Aerospace &amp; Mechanical Engineering</t>
        </is>
      </c>
      <c r="F14" s="2" t="n">
        <v>4</v>
      </c>
      <c r="G14" s="2" t="inlineStr">
        <is>
          <t>aerospace, flow control, turbulence, turbulent</t>
        </is>
      </c>
      <c r="H14" s="2" t="inlineStr"/>
      <c r="I14" s="2" t="inlineStr"/>
      <c r="J14" s="2" t="inlineStr"/>
      <c r="K14" s="2" t="inlineStr"/>
      <c r="L14" s="2" t="inlineStr"/>
      <c r="M14" s="2" t="inlineStr"/>
      <c r="N14" s="2" t="inlineStr"/>
      <c r="O14" s="2" t="inlineStr"/>
      <c r="P14" s="2" t="inlineStr"/>
      <c r="Q14" s="2" t="inlineStr">
        <is>
          <t>Kim's research interests include large-eddy simulation of high-speed turbulent flows with multi-physics, aeroacoustics, flow control and optimization.</t>
        </is>
      </c>
      <c r="R14" s="2" t="inlineStr">
        <is>
          <t>Ph.D. Theoretical and Applied Mechanics, University of Illinois at Urbana-Champaign | M.S. Mechanical and Aerospace Engineering, Seoul National University, South Korea | B.S. Mechanical and Aerospace Engineering, Seoul National University, South Korea</t>
        </is>
      </c>
      <c r="S14" s="3">
        <f>HYPERLINK("https://scholar.google.com/citations?view_op=search_authors&amp;mauthors=Jeonglae%20Kim%20Arizona%20State%20University", "Google Scholar Search")</f>
        <v/>
      </c>
      <c r="T14" s="2" t="inlineStr"/>
      <c r="U14" s="3">
        <f>HYPERLINK("https://search.asu.edu/profile/jkim520", "https://search.asu.edu/profile/jkim520")</f>
        <v/>
      </c>
      <c r="V14" s="2" t="inlineStr">
        <is>
          <t>Campus: Tempe</t>
        </is>
      </c>
      <c r="W14" s="2" t="b">
        <v>1</v>
      </c>
      <c r="X14" s="3">
        <f>HYPERLINK("https://faculty.engineering.asu.edu/directory/semte/aerospace-and-mechanical-engineering/", "https://faculty.engineering.asu.edu/directory/semte/aerospace-and-mechanical-engineering/")</f>
        <v/>
      </c>
    </row>
    <row r="15">
      <c r="A15" s="2" t="inlineStr">
        <is>
          <t>Matthew Peet</t>
        </is>
      </c>
      <c r="B15" s="2" t="inlineStr">
        <is>
          <t>Associate Professor</t>
        </is>
      </c>
      <c r="C15" s="3">
        <f>HYPERLINK("mailto:mpeet@asu.edu", "mpeet@asu.edu")</f>
        <v/>
      </c>
      <c r="D15" s="2" t="inlineStr">
        <is>
          <t>Arizona State University</t>
        </is>
      </c>
      <c r="E15" s="2" t="inlineStr">
        <is>
          <t>Aerospace &amp; Mechanical Engineering</t>
        </is>
      </c>
      <c r="F15" s="2" t="n">
        <v>4</v>
      </c>
      <c r="G15" s="2" t="inlineStr">
        <is>
          <t>aerospace, materials, spacecraft, system dynamics</t>
        </is>
      </c>
      <c r="H15" s="2" t="inlineStr"/>
      <c r="I15" s="2" t="inlineStr">
        <is>
          <t>Cybernetic Systems and Controls Laboratory (CSCL)</t>
        </is>
      </c>
      <c r="J15" s="3">
        <f>HYPERLINK("http://control.asu.edu/", "http://control.asu.edu/")</f>
        <v/>
      </c>
      <c r="K15" s="2" t="inlineStr"/>
      <c r="L15" s="2" t="inlineStr"/>
      <c r="M15" s="2" t="inlineStr"/>
      <c r="N15" s="2" t="inlineStr"/>
      <c r="O15" s="2" t="inlineStr">
        <is>
          <t>The intersection of computer science and control including convex optimization, artificial intelligence, and manipulation of delayed and PDE systems. The understanding and regulation of complex dynamical systems such as the motion of plasma in nuclear fusion reactors, autoregulation in the human immune response, and the motion of spacecraft in orbit.</t>
        </is>
      </c>
      <c r="P15" s="2" t="inlineStr">
        <is>
          <t>Control Systems, Dynamical Systems Theory, Aerospace Engineering, Algorithm Development, Dynamical Systems, Nonlinear Dynamical Systems, Mathematical and System Dynamics Modeling, Immunology</t>
        </is>
      </c>
      <c r="Q15" s="2" t="inlineStr">
        <is>
          <t>Peet's current research interests are in the role of computation as it is applied to the understanding and control of complex and large-scale systems.</t>
        </is>
      </c>
      <c r="R15" s="2" t="inlineStr">
        <is>
          <t>Ph.D. Aeronautics and Astronautics, Stanford University 2006 | Bachelor's degree. Physics, University of Texas-Austin 1999 | Bachelor's degree. Aerospace Engineering, University of Texas-Austin 1999</t>
        </is>
      </c>
      <c r="S15" s="3">
        <f>HYPERLINK("https://scholar.google.com/citations?view_op=search_authors&amp;mauthors=Matthew%20Peet%20Arizona%20State%20University", "Google Scholar Search")</f>
        <v/>
      </c>
      <c r="T15" s="2" t="inlineStr"/>
      <c r="U15" s="3">
        <f>HYPERLINK("https://search.asu.edu/profile/mpeet", "https://search.asu.edu/profile/mpeet")</f>
        <v/>
      </c>
      <c r="V15" s="2" t="inlineStr"/>
      <c r="W15" s="2" t="b">
        <v>1</v>
      </c>
      <c r="X15" s="3">
        <f>HYPERLINK("https://faculty.engineering.asu.edu/directory/semte/aerospace-and-mechanical-engineering/", "https://faculty.engineering.asu.edu/directory/semte/aerospace-and-mechanical-engineering/")</f>
        <v/>
      </c>
    </row>
    <row r="16">
      <c r="A16" s="2" t="inlineStr">
        <is>
          <t>Robert Wang</t>
        </is>
      </c>
      <c r="B16" s="2" t="inlineStr">
        <is>
          <t>Associate Professor</t>
        </is>
      </c>
      <c r="C16" s="3">
        <f>HYPERLINK("mailto:rywang@asu.edu", "rywang@asu.edu")</f>
        <v/>
      </c>
      <c r="D16" s="2" t="inlineStr">
        <is>
          <t>Arizona State University</t>
        </is>
      </c>
      <c r="E16" s="2" t="inlineStr">
        <is>
          <t>Aerospace &amp; Mechanical Engineering</t>
        </is>
      </c>
      <c r="F16" s="2" t="n">
        <v>4</v>
      </c>
      <c r="G16" s="2" t="inlineStr">
        <is>
          <t>composites, heat transfer, materials, thermal</t>
        </is>
      </c>
      <c r="H16" s="2" t="inlineStr"/>
      <c r="I16" s="2" t="inlineStr"/>
      <c r="J16" s="3">
        <f>HYPERLINK("http://wang.faculty.asu.edu/", "http://wang.faculty.asu.edu/")</f>
        <v/>
      </c>
      <c r="K16" s="2" t="inlineStr"/>
      <c r="L16" s="2" t="inlineStr"/>
      <c r="M16" s="2" t="inlineStr"/>
      <c r="N16" s="2" t="inlineStr">
        <is>
          <t>Thermal Energy &amp; Nanomaterials Lab</t>
        </is>
      </c>
      <c r="O16" s="2" t="inlineStr">
        <is>
          <t>My research group is an interdisciplinary nanoengineering team that focuses on manipulating material properties for thermal energy applications. Some of our focus areas are thermoelectric power generation, thermal storage media, heat transfer, and phonon optics. To achieve our objectives, we custom-design materials using colloidal nanoparticles, chemical precursors, and nanocomposites.</t>
        </is>
      </c>
      <c r="P16" s="2" t="inlineStr">
        <is>
          <t>Mechanical Engineering, Energy, Renewable Energy, Energy and Sustainability, Clean Energy, Energy Efficiency Technologies, Materials Science and Engineering, Chemical Engineering, Nanoengineering, Nanoscience, Nanotechnology, Solid State Physics, Thin Film Materials, Semiconductors, Chemistry, Physics</t>
        </is>
      </c>
      <c r="Q16" s="2" t="inlineStr">
        <is>
          <t>Wang's research interests include thermal energy conversion, storage, and transport in nanostructured materials; thermoelectric power generation; thermal storage media; heat transfer, and phonon optics</t>
        </is>
      </c>
      <c r="R16" s="2" t="inlineStr">
        <is>
          <t>Ph.D. Mechanical Engineering, University of California-Berkeley 2008 | M.S. Mechanical Engineering, University of California-Berkeley 2005 | B.S. Mechanical Engineering, University of California-Los Angeles 2003</t>
        </is>
      </c>
      <c r="S16" s="3">
        <f>HYPERLINK("https://scholar.google.com/citations?hl=en&amp;user=LaUdx9gAAAAJ", "Scholar (LaUdx9gAAAAJ)")</f>
        <v/>
      </c>
      <c r="T16" s="2" t="inlineStr">
        <is>
          <t>LaUdx9gAAAAJ</t>
        </is>
      </c>
      <c r="U16" s="3">
        <f>HYPERLINK("https://search.asu.edu/profile/rywang", "https://search.asu.edu/profile/rywang")</f>
        <v/>
      </c>
      <c r="V16" s="2" t="inlineStr">
        <is>
          <t>ENGRC 307 (Tempe, AZ 85287-6106)</t>
        </is>
      </c>
      <c r="W16" s="2" t="b">
        <v>1</v>
      </c>
      <c r="X16" s="3">
        <f>HYPERLINK("https://faculty.engineering.asu.edu/directory/semte/aerospace-and-mechanical-engineering/", "https://faculty.engineering.asu.edu/directory/semte/aerospace-and-mechanical-engineering/")</f>
        <v/>
      </c>
    </row>
    <row r="17">
      <c r="A17" s="2" t="inlineStr">
        <is>
          <t>Ryan Milcarek</t>
        </is>
      </c>
      <c r="B17" s="2" t="inlineStr">
        <is>
          <t>Associate Professor</t>
        </is>
      </c>
      <c r="C17" s="3">
        <f>HYPERLINK("mailto:Ryan.Milcarek@asu.edu", "Ryan.Milcarek@asu.edu")</f>
        <v/>
      </c>
      <c r="D17" s="2" t="inlineStr">
        <is>
          <t>Arizona State University</t>
        </is>
      </c>
      <c r="E17" s="2" t="inlineStr">
        <is>
          <t>Aerospace &amp; Mechanical Engineering</t>
        </is>
      </c>
      <c r="F17" s="2" t="n">
        <v>4</v>
      </c>
      <c r="G17" s="2" t="inlineStr">
        <is>
          <t>aerospace, combustion, energy systems, materials</t>
        </is>
      </c>
      <c r="H17" s="2" t="inlineStr"/>
      <c r="I17" s="2" t="inlineStr"/>
      <c r="J17" s="3">
        <f>HYPERLINK("http://RESEARCHGATE.net/profile/Ryan_Milcarek", "http://RESEARCHGATE.net/profile/Ryan_Milcarek")</f>
        <v/>
      </c>
      <c r="K17" s="2" t="inlineStr"/>
      <c r="L17" s="2" t="inlineStr"/>
      <c r="M17" s="2" t="inlineStr"/>
      <c r="N17" s="2" t="inlineStr"/>
      <c r="O17" s="2" t="inlineStr">
        <is>
          <t>Energy management and efficiency, energy transition, energy storage, solid oxide fuel cells, partial oxidation, cogeneration, combustion, and synthesis of hydrogen</t>
        </is>
      </c>
      <c r="P17" s="2" t="inlineStr">
        <is>
          <t>Ceramics, Electrochemistry, Energy, Energy and Sustainability, Energy Conservation, Energy Economics, Energy Efficiency Technologies, Thin Film Materials</t>
        </is>
      </c>
      <c r="Q17" s="2" t="inlineStr">
        <is>
          <t>Milcarek's current research focuses on energy management and efficiency, energy system modeling, energy transition, energy storage, solid oxide fuel cells fabrication and testing, partial oxidation and synthesis of hydrogen.</t>
        </is>
      </c>
      <c r="R17" s="2" t="inlineStr">
        <is>
          <t>Ph.D. Mechanical and Aerospace Engineering, College of Engineering and Computer Science, Syracuse University 2018 | M.S. Mechanical and Aerospace Engineering, College of Engineering and Computer Science, Syracuse University 2017 | M.S. Energy Systems Engineering, College of Engineering and Computer Science, Syracuse University 2017 | Certificate of Advanced Study (CAS) Sustainable Enterprise, Martin J. Whitman School of Management, Syracuse University 2017 | Certificate in University Teaching (CUT). Graduate School, Future Professorate Program, Syracuse University 2017 | B.S. Mechanical Engineering; minor: Mathematics (Summa Cum Laude), L.C. Smith College of Engineering and Computer Science, Syracuse University 2014</t>
        </is>
      </c>
      <c r="S17" s="3">
        <f>HYPERLINK("https://scholar.google.com/citations?hl=en&amp;user=m-Pb6g2pm2UC", "Scholar (m-Pb6g2pm2UC)")</f>
        <v/>
      </c>
      <c r="T17" s="2" t="inlineStr">
        <is>
          <t>m-Pb6g2pm2UC</t>
        </is>
      </c>
      <c r="U17" s="3">
        <f>HYPERLINK("https://search.asu.edu/profile/rjmilcar", "https://search.asu.edu/profile/rjmilcar")</f>
        <v/>
      </c>
      <c r="V17" s="2" t="inlineStr">
        <is>
          <t>ENGRC 465 (Tempe, AZ 85287)</t>
        </is>
      </c>
      <c r="W17" s="2" t="b">
        <v>1</v>
      </c>
      <c r="X17" s="3">
        <f>HYPERLINK("https://faculty.engineering.asu.edu/directory/semte/aerospace-and-mechanical-engineering/", "https://faculty.engineering.asu.edu/directory/semte/aerospace-and-mechanical-engineering/")</f>
        <v/>
      </c>
    </row>
    <row r="18">
      <c r="A18" s="2" t="inlineStr">
        <is>
          <t>T.-W. Lee</t>
        </is>
      </c>
      <c r="B18" s="2" t="inlineStr">
        <is>
          <t>Associate Professor</t>
        </is>
      </c>
      <c r="C18" s="3">
        <f>HYPERLINK("mailto:ATTWL@asu.edu", "ATTWL@asu.edu")</f>
        <v/>
      </c>
      <c r="D18" s="2" t="inlineStr">
        <is>
          <t>Arizona State University</t>
        </is>
      </c>
      <c r="E18" s="2" t="inlineStr">
        <is>
          <t>Aerospace &amp; Mechanical Engineering</t>
        </is>
      </c>
      <c r="F18" s="2" t="n">
        <v>4</v>
      </c>
      <c r="G18" s="2" t="inlineStr">
        <is>
          <t>aerospace, energy systems, propulsion, thermal</t>
        </is>
      </c>
      <c r="H18" s="2" t="inlineStr"/>
      <c r="I18" s="2" t="inlineStr"/>
      <c r="J18" s="2" t="inlineStr"/>
      <c r="K18" s="2" t="inlineStr"/>
      <c r="L18" s="2" t="inlineStr"/>
      <c r="M18" s="2" t="inlineStr"/>
      <c r="N18" s="2" t="inlineStr"/>
      <c r="O18" s="2" t="inlineStr"/>
      <c r="P18" s="2" t="inlineStr"/>
      <c r="Q18" s="2" t="inlineStr">
        <is>
          <t>Lee's areas of expertise include energy system analysis, thermal and fluid process characterization, and fuel property measurements for energy systems.</t>
        </is>
      </c>
      <c r="R18" s="2" t="inlineStr">
        <is>
          <t>Ph.D. Aerospace Engineering, University of Michigan-Ann Arbor | M.S.E. Aerospace Engineering, University of Michigan-Ann Arbor | B.S. Aeronautical and Astronautical Engineering, The Ohio State University-Columbus</t>
        </is>
      </c>
      <c r="S18" s="3">
        <f>HYPERLINK("https://scholar.google.com/citations?view_op=search_authors&amp;mauthors=T.-W.%20Lee%20Arizona%20State%20University", "Google Scholar Search")</f>
        <v/>
      </c>
      <c r="T18" s="2" t="inlineStr"/>
      <c r="U18" s="3">
        <f>HYPERLINK("https://search.asu.edu/profile/attwl", "https://search.asu.edu/profile/attwl")</f>
        <v/>
      </c>
      <c r="V18" s="2" t="inlineStr">
        <is>
          <t>ENGRC 377 (TEMPE, AZ 85287-6106)</t>
        </is>
      </c>
      <c r="W18" s="2" t="b">
        <v>1</v>
      </c>
      <c r="X18" s="3">
        <f>HYPERLINK("https://faculty.engineering.asu.edu/directory/semte/aerospace-and-mechanical-engineering/", "https://faculty.engineering.asu.edu/directory/semte/aerospace-and-mechanical-engineering/")</f>
        <v/>
      </c>
    </row>
    <row r="19">
      <c r="A19" s="2" t="inlineStr">
        <is>
          <t>Tianyu Yang</t>
        </is>
      </c>
      <c r="B19" s="2" t="inlineStr">
        <is>
          <t>Assistant Professor</t>
        </is>
      </c>
      <c r="C19" s="3">
        <f>HYPERLINK("mailto:Tianyu.Yang@asu.edu", "Tianyu.Yang@asu.edu")</f>
        <v/>
      </c>
      <c r="D19" s="2" t="inlineStr">
        <is>
          <t>Arizona State University</t>
        </is>
      </c>
      <c r="E19" s="2" t="inlineStr">
        <is>
          <t>Aerospace &amp; Mechanical Engineering</t>
        </is>
      </c>
      <c r="F19" s="2" t="n">
        <v>4</v>
      </c>
      <c r="G19" s="2" t="inlineStr">
        <is>
          <t>autonomous, heat transfer, materials, thermal</t>
        </is>
      </c>
      <c r="H19" s="2" t="inlineStr"/>
      <c r="I19" s="2" t="inlineStr"/>
      <c r="J19" s="2" t="inlineStr"/>
      <c r="K19" s="2" t="inlineStr"/>
      <c r="L19" s="2" t="inlineStr"/>
      <c r="M19" s="2" t="inlineStr"/>
      <c r="N19" s="2" t="inlineStr"/>
      <c r="O19" s="2" t="inlineStr"/>
      <c r="P19" s="2" t="inlineStr"/>
      <c r="Q19" s="2" t="inlineStr">
        <is>
          <t>Yang studies heat transfer, thermal management of electronics, and biomedical devices. She has published multiple research papers in major scientific journals.</t>
        </is>
      </c>
      <c r="R19" s="2" t="inlineStr">
        <is>
          <t>PhD. University of Illinois at Urbana Champaign, 2016-2021 | BS. Tsinghua University, China 2012-2016</t>
        </is>
      </c>
      <c r="S19" s="3">
        <f>HYPERLINK("https://scholar.google.com/citations?hl=en&amp;user=OmBV67MAAAAJ", "Scholar (OmBV67MAAAAJ)")</f>
        <v/>
      </c>
      <c r="T19" s="2" t="inlineStr">
        <is>
          <t>OmBV67MAAAAJ</t>
        </is>
      </c>
      <c r="U19" s="3">
        <f>HYPERLINK("https://search.asu.edu/profile/tyang123", "https://search.asu.edu/profile/tyang123")</f>
        <v/>
      </c>
      <c r="V19" s="2" t="inlineStr">
        <is>
          <t>Campus: Tempe</t>
        </is>
      </c>
      <c r="W19" s="2" t="b">
        <v>1</v>
      </c>
      <c r="X19" s="3">
        <f>HYPERLINK("https://faculty.engineering.asu.edu/directory/semte/aerospace-and-mechanical-engineering/", "https://faculty.engineering.asu.edu/directory/semte/aerospace-and-mechanical-engineering/")</f>
        <v/>
      </c>
    </row>
    <row r="20">
      <c r="A20" s="2" t="inlineStr">
        <is>
          <t>Aditi Chattopadhyay</t>
        </is>
      </c>
      <c r="B20" s="2" t="inlineStr">
        <is>
          <t>Regents Professor</t>
        </is>
      </c>
      <c r="C20" s="3">
        <f>HYPERLINK("mailto:aditi@asu.edu", "aditi@asu.edu")</f>
        <v/>
      </c>
      <c r="D20" s="2" t="inlineStr">
        <is>
          <t>Arizona State University</t>
        </is>
      </c>
      <c r="E20" s="2" t="inlineStr">
        <is>
          <t>Aerospace &amp; Mechanical Engineering</t>
        </is>
      </c>
      <c r="F20" s="2" t="n">
        <v>3</v>
      </c>
      <c r="G20" s="2" t="inlineStr">
        <is>
          <t>aerospace, materials, structural health monitoring</t>
        </is>
      </c>
      <c r="H20" s="2" t="inlineStr"/>
      <c r="I20" s="2" t="inlineStr">
        <is>
          <t>Adaptive Intelligent Materials &amp; Systems (AIMS) Center</t>
        </is>
      </c>
      <c r="J20" s="2" t="inlineStr"/>
      <c r="K20" s="2" t="inlineStr"/>
      <c r="L20" s="2" t="inlineStr"/>
      <c r="M20" s="2" t="inlineStr"/>
      <c r="N20" s="2" t="inlineStr"/>
      <c r="O20" s="2" t="inlineStr"/>
      <c r="P20" s="2" t="inlineStr"/>
      <c r="Q20" s="2" t="inlineStr">
        <is>
          <t>Chattopadhyay is the director of Adaptive Intelligent Materials and Systems (AIMS) Center at ASU. Her research focuses on structural health monitoring and damage prognosis, and multidisciplinary design optimization.</t>
        </is>
      </c>
      <c r="R20" s="2" t="inlineStr">
        <is>
          <t>Ph. D. Aerospace Engineering, Georgia Institute of Technology | M.S. Aerospace Engineering, Georgia Institute of Technology | B. Tech. Aeronautical Engineering (Honors), Indian Institute of Technology, Kharagpur, India 1980</t>
        </is>
      </c>
      <c r="S20" s="3">
        <f>HYPERLINK("https://scholar.google.com/citations?hl=en&amp;user=w3fU9E0AAAAJ", "Scholar (w3fU9E0AAAAJ)")</f>
        <v/>
      </c>
      <c r="T20" s="2" t="inlineStr">
        <is>
          <t>w3fU9E0AAAAJ</t>
        </is>
      </c>
      <c r="U20" s="3">
        <f>HYPERLINK("https://search.asu.edu/profile/chattopa", "https://search.asu.edu/profile/chattopa")</f>
        <v/>
      </c>
      <c r="V20" s="2" t="inlineStr">
        <is>
          <t>ENGRC 427 (TEMPE, AZ 85287-6106)</t>
        </is>
      </c>
      <c r="W20" s="2" t="b">
        <v>1</v>
      </c>
      <c r="X20" s="3">
        <f>HYPERLINK("https://faculty.engineering.asu.edu/directory/semte/aerospace-and-mechanical-engineering/", "https://faculty.engineering.asu.edu/directory/semte/aerospace-and-mechanical-engineering/")</f>
        <v/>
      </c>
    </row>
    <row r="21">
      <c r="A21" s="2" t="inlineStr">
        <is>
          <t>Alberto Scotti</t>
        </is>
      </c>
      <c r="B21" s="2" t="inlineStr">
        <is>
          <t>Professor</t>
        </is>
      </c>
      <c r="C21" s="3">
        <f>HYPERLINK("mailto:Alberto.Scotti@asu.edu", "Alberto.Scotti@asu.edu")</f>
        <v/>
      </c>
      <c r="D21" s="2" t="inlineStr">
        <is>
          <t>Arizona State University</t>
        </is>
      </c>
      <c r="E21" s="2" t="inlineStr">
        <is>
          <t>Aerospace &amp; Mechanical Engineering</t>
        </is>
      </c>
      <c r="F21" s="2" t="n">
        <v>3</v>
      </c>
      <c r="G21" s="2" t="inlineStr">
        <is>
          <t>fluid mechanics, fluids, turbulent</t>
        </is>
      </c>
      <c r="H21" s="2" t="inlineStr"/>
      <c r="I21" s="2" t="inlineStr"/>
      <c r="J21" s="2" t="inlineStr"/>
      <c r="K21" s="2" t="inlineStr"/>
      <c r="L21" s="2" t="inlineStr"/>
      <c r="M21" s="2" t="inlineStr"/>
      <c r="N21" s="2" t="inlineStr"/>
      <c r="O21" s="2" t="inlineStr">
        <is>
          <t>Modeling and Simulation, Oceanography, Earth Systems and Climate Science, Modeling, Modeling, Simulation and Cyberinfrastructure, Applied Mathematics</t>
        </is>
      </c>
      <c r="P21" s="2" t="inlineStr">
        <is>
          <t>Modeling and Simulation, Oceanography, Earth Systems and Climate Science, Modeling, Modeling, Simulation and Cyberinfrastructure, Applied Mathematics</t>
        </is>
      </c>
      <c r="Q21" s="2" t="inlineStr">
        <is>
          <t>Scotti's main focus is theoretical, experimental and computational aspects of environmental fluid mechanics.</t>
        </is>
      </c>
      <c r="R21" s="2" t="inlineStr">
        <is>
          <t>PhD Johns Hopkins University</t>
        </is>
      </c>
      <c r="S21" s="3">
        <f>HYPERLINK("https://scholar.google.com/citations?hl=en&amp;user=HRx2lJQAAAAJ", "Scholar (HRx2lJQAAAAJ)")</f>
        <v/>
      </c>
      <c r="T21" s="2" t="inlineStr">
        <is>
          <t>HRx2lJQAAAAJ</t>
        </is>
      </c>
      <c r="U21" s="3">
        <f>HYPERLINK("https://search.asu.edu/profile/adscotti", "https://search.asu.edu/profile/adscotti")</f>
        <v/>
      </c>
      <c r="V21" s="2" t="inlineStr">
        <is>
          <t>Campus: Tempe</t>
        </is>
      </c>
      <c r="W21" s="2" t="b">
        <v>1</v>
      </c>
      <c r="X21" s="3">
        <f>HYPERLINK("https://faculty.engineering.asu.edu/directory/semte/aerospace-and-mechanical-engineering/", "https://faculty.engineering.asu.edu/directory/semte/aerospace-and-mechanical-engineering/")</f>
        <v/>
      </c>
    </row>
    <row r="22">
      <c r="A22" s="2" t="inlineStr">
        <is>
          <t>Beomjin Kwon</t>
        </is>
      </c>
      <c r="B22" s="2" t="inlineStr">
        <is>
          <t>Associate Professor</t>
        </is>
      </c>
      <c r="C22" s="3">
        <f>HYPERLINK("mailto:kwon@asu.edu", "kwon@asu.edu")</f>
        <v/>
      </c>
      <c r="D22" s="2" t="inlineStr">
        <is>
          <t>Arizona State University</t>
        </is>
      </c>
      <c r="E22" s="2" t="inlineStr">
        <is>
          <t>Aerospace &amp; Mechanical Engineering</t>
        </is>
      </c>
      <c r="F22" s="2" t="n">
        <v>3</v>
      </c>
      <c r="G22" s="2" t="inlineStr">
        <is>
          <t>aerospace, energy systems, heat transfer</t>
        </is>
      </c>
      <c r="H22" s="2" t="inlineStr"/>
      <c r="I22" s="2" t="inlineStr">
        <is>
          <t>3D Energy Lab</t>
        </is>
      </c>
      <c r="J22" s="3">
        <f>HYPERLINK("http://sites.google.com/view/3denergy", "http://sites.google.com/view/3denergy")</f>
        <v/>
      </c>
      <c r="K22" s="2" t="inlineStr"/>
      <c r="L22" s="2" t="inlineStr">
        <is>
          <t>NSF</t>
        </is>
      </c>
      <c r="M22" s="2" t="inlineStr"/>
      <c r="N22" s="2" t="inlineStr">
        <is>
          <t>3D Energy Device Laboratory</t>
        </is>
      </c>
      <c r="O22" s="2" t="inlineStr">
        <is>
          <t>Transport phenomena in heat transfer systems Additive manufacturing Data-driven modeling and design</t>
        </is>
      </c>
      <c r="P22" s="2" t="inlineStr"/>
      <c r="Q22" s="2" t="inlineStr">
        <is>
          <t>Kwon aims to improve the energy conversion and transport systems through the fundamental insights into transport physics, and by exploiting additive manufacturing and data-driven approaches.</t>
        </is>
      </c>
      <c r="R22" s="2" t="inlineStr">
        <is>
          <t>Ph.D. Mechanical Engineering, University of Illinois at Urbana-Champaign 2013 | M.S. Mechanical Engineering, University of Illinois at Urbana-Champaign 2009 | B.S. Mechanical and Aerospace Engineering, Seoul National University 2008</t>
        </is>
      </c>
      <c r="S22" s="3">
        <f>HYPERLINK("https://scholar.google.com/citations?hl=en&amp;user=fs2d97sAAAAJ", "Scholar (fs2d97sAAAAJ)")</f>
        <v/>
      </c>
      <c r="T22" s="2" t="inlineStr">
        <is>
          <t>fs2d97sAAAAJ</t>
        </is>
      </c>
      <c r="U22" s="3">
        <f>HYPERLINK("https://search.asu.edu/profile/bkwon2", "https://search.asu.edu/profile/bkwon2")</f>
        <v/>
      </c>
      <c r="V22" s="2" t="inlineStr">
        <is>
          <t>551 E Tyler Mall ERC 363 (Tempe, AZ 85281)</t>
        </is>
      </c>
      <c r="W22" s="2" t="b">
        <v>1</v>
      </c>
      <c r="X22" s="3">
        <f>HYPERLINK("https://faculty.engineering.asu.edu/directory/semte/aerospace-and-mechanical-engineering/", "https://faculty.engineering.asu.edu/directory/semte/aerospace-and-mechanical-engineering/")</f>
        <v/>
      </c>
    </row>
    <row r="23">
      <c r="A23" s="2" t="inlineStr">
        <is>
          <t>Hamidreza Marvi</t>
        </is>
      </c>
      <c r="B23" s="2" t="inlineStr">
        <is>
          <t>Associate Professor</t>
        </is>
      </c>
      <c r="C23" s="3">
        <f>HYPERLINK("mailto:hmarvi@asu.edu", "hmarvi@asu.edu")</f>
        <v/>
      </c>
      <c r="D23" s="2" t="inlineStr">
        <is>
          <t>Arizona State University</t>
        </is>
      </c>
      <c r="E23" s="2" t="inlineStr">
        <is>
          <t>Aerospace &amp; Mechanical Engineering</t>
        </is>
      </c>
      <c r="F23" s="2" t="n">
        <v>3</v>
      </c>
      <c r="G23" s="2" t="inlineStr">
        <is>
          <t>aerospace, robot, robotics</t>
        </is>
      </c>
      <c r="H23" s="2" t="inlineStr"/>
      <c r="I23" s="2" t="inlineStr">
        <is>
          <t>Bio-Inspired Robotics, Technology, and Healthcare Laboratory (BIRTH Lab)</t>
        </is>
      </c>
      <c r="J23" s="3">
        <f>HYPERLINK("http://birth.asu.edu", "http://birth.asu.edu")</f>
        <v/>
      </c>
      <c r="K23" s="2" t="inlineStr"/>
      <c r="L23" s="2" t="inlineStr"/>
      <c r="M23" s="2" t="inlineStr"/>
      <c r="N23" s="2" t="inlineStr">
        <is>
          <t>Latest News</t>
        </is>
      </c>
      <c r="O23" s="2" t="inlineStr">
        <is>
          <t>Bio-inspired robotics Soft robotics Magnetic micro-robotics Mechanics of animal locomotion</t>
        </is>
      </c>
      <c r="P23" s="2" t="inlineStr"/>
      <c r="Q23" s="2" t="inlineStr">
        <is>
          <t>Marvi would like to develop bio-inspired robotic systems and programmable interfacial structures for search and rescue, exploratory and medical applications.</t>
        </is>
      </c>
      <c r="R23" s="2" t="inlineStr">
        <is>
          <t>Ph.D. Mechanical Engineering, Georgia Institute of Technology, Atlanta 2013 | M.S. Mechanical Engineering, Clemson University, SC 2009 | M.S. Biomedical Engineering, Sharif University of Technology, Tehran, Iran 2007 | B.S. Mechanical Engineering, Iran University of Science and Technology, Tehran 2004</t>
        </is>
      </c>
      <c r="S23" s="3">
        <f>HYPERLINK("https://scholar.google.com/citations?hl=en&amp;user=00Fepb0AAAAJ", "Scholar (00Fepb0AAAAJ)")</f>
        <v/>
      </c>
      <c r="T23" s="2" t="inlineStr">
        <is>
          <t>00Fepb0AAAAJ</t>
        </is>
      </c>
      <c r="U23" s="3">
        <f>HYPERLINK("https://search.asu.edu/profile/hmarvi", "https://search.asu.edu/profile/hmarvi")</f>
        <v/>
      </c>
      <c r="V23" s="2" t="inlineStr">
        <is>
          <t>Campus: Tempe</t>
        </is>
      </c>
      <c r="W23" s="2" t="b">
        <v>1</v>
      </c>
      <c r="X23" s="3">
        <f>HYPERLINK("https://faculty.engineering.asu.edu/directory/semte/aerospace-and-mechanical-engineering/", "https://faculty.engineering.asu.edu/directory/semte/aerospace-and-mechanical-engineering/")</f>
        <v/>
      </c>
    </row>
    <row r="24">
      <c r="A24" s="2" t="inlineStr">
        <is>
          <t>Hyunglae Lee</t>
        </is>
      </c>
      <c r="B24" s="2" t="inlineStr">
        <is>
          <t>Associate Professor</t>
        </is>
      </c>
      <c r="C24" s="3">
        <f>HYPERLINK("mailto:Hyunglae.Lee@asu.edu", "Hyunglae.Lee@asu.edu")</f>
        <v/>
      </c>
      <c r="D24" s="2" t="inlineStr">
        <is>
          <t>Arizona State University</t>
        </is>
      </c>
      <c r="E24" s="2" t="inlineStr">
        <is>
          <t>Aerospace &amp; Mechanical Engineering</t>
        </is>
      </c>
      <c r="F24" s="2" t="n">
        <v>3</v>
      </c>
      <c r="G24" s="2" t="inlineStr">
        <is>
          <t>aerospace, robot, robotics</t>
        </is>
      </c>
      <c r="H24" s="2" t="inlineStr"/>
      <c r="I24" s="2" t="inlineStr"/>
      <c r="J24" s="3">
        <f>HYPERLINK("https://faculty.engineering.asu.edu/hlee", "https://faculty.engineering.asu.edu/hlee")</f>
        <v/>
      </c>
      <c r="K24" s="2" t="inlineStr"/>
      <c r="L24" s="2" t="inlineStr"/>
      <c r="M24" s="2" t="inlineStr"/>
      <c r="N24" s="2" t="inlineStr"/>
      <c r="O24" s="2" t="inlineStr"/>
      <c r="P24" s="2" t="inlineStr"/>
      <c r="Q24" s="2" t="inlineStr">
        <is>
          <t>Lee's research interests include physical human-robot interaction, neuromuscular control of human movement, robot-aided neurorehabilitation, bio-inspired robotics and system identification for physiological systems.</t>
        </is>
      </c>
      <c r="R24" s="2" t="inlineStr">
        <is>
          <t>B.S. Mechanical and Aerospace Engineering, Seoul National University (2002) M.S. Mechanical and Aerospace Engineering, Seoul National University (2004) Ph.D Mechanical Engineering, Massachusetts Institute of Technology (2013)</t>
        </is>
      </c>
      <c r="S24" s="3">
        <f>HYPERLINK("https://scholar.google.com/citations?view_op=search_authors&amp;mauthors=Hyunglae%20Lee%20Arizona%20State%20University", "Google Scholar Search")</f>
        <v/>
      </c>
      <c r="T24" s="2" t="inlineStr"/>
      <c r="U24" s="3">
        <f>HYPERLINK("https://search.asu.edu/profile/hlee234", "https://search.asu.edu/profile/hlee234")</f>
        <v/>
      </c>
      <c r="V24" s="2" t="inlineStr">
        <is>
          <t>Campus: Tempe</t>
        </is>
      </c>
      <c r="W24" s="2" t="b">
        <v>1</v>
      </c>
      <c r="X24" s="3">
        <f>HYPERLINK("https://faculty.engineering.asu.edu/directory/semte/aerospace-and-mechanical-engineering/", "https://faculty.engineering.asu.edu/directory/semte/aerospace-and-mechanical-engineering/")</f>
        <v/>
      </c>
    </row>
    <row r="25">
      <c r="A25" s="2" t="inlineStr">
        <is>
          <t>Leila Ladani</t>
        </is>
      </c>
      <c r="B25" s="2" t="inlineStr">
        <is>
          <t>Professor</t>
        </is>
      </c>
      <c r="C25" s="3">
        <f>HYPERLINK("mailto:ladani@asu.edu", "ladani@asu.edu")</f>
        <v/>
      </c>
      <c r="D25" s="2" t="inlineStr">
        <is>
          <t>Arizona State University</t>
        </is>
      </c>
      <c r="E25" s="2" t="inlineStr">
        <is>
          <t>Aerospace &amp; Mechanical Engineering</t>
        </is>
      </c>
      <c r="F25" s="2" t="n">
        <v>3</v>
      </c>
      <c r="G25" s="2" t="inlineStr">
        <is>
          <t>aerospace, materials, solid mechanics</t>
        </is>
      </c>
      <c r="H25" s="2" t="inlineStr"/>
      <c r="I25" s="2" t="inlineStr">
        <is>
          <t>Manufacturing and Advanced Materials Characterization (MAGIC) Lab</t>
        </is>
      </c>
      <c r="J25" s="3">
        <f>HYPERLINK("https://magic.asu.edu/", "https://magic.asu.edu/")</f>
        <v/>
      </c>
      <c r="K25" s="2" t="inlineStr"/>
      <c r="L25" s="2" t="inlineStr">
        <is>
          <t>NSF</t>
        </is>
      </c>
      <c r="M25" s="2" t="inlineStr"/>
      <c r="N25" s="2" t="inlineStr">
        <is>
          <t>Advancing manufacturing innovation</t>
        </is>
      </c>
      <c r="O25" s="2" t="inlineStr">
        <is>
          <t>Manufacturing process simulation and modeling and experiments Additive manufacturing Micro/nano manufacturing Microelectronic packaging Application of AI in manufacturing Mechanic of metallic materials Materials characterization Fatigue and damage modeling and simulation</t>
        </is>
      </c>
      <c r="P25" s="2" t="inlineStr">
        <is>
          <t>Additive Manufacturing, Manufacturing Engineering</t>
        </is>
      </c>
      <c r="Q25" s="2" t="inlineStr">
        <is>
          <t>Dr. Ladani is a Professor of Mechanical and Aerospace Engineering at Arizona State University.</t>
        </is>
      </c>
      <c r="R25" s="2" t="inlineStr">
        <is>
          <t>PhD. Mechanical Engineering, University of Maryland-College Park 2007 | M.S. Mechanical Engineering, University of Maryland-College Park 2005 | PhD. Student, Mechanical Engineering, Isfahan University of Technology, Iran 2001-2002 | M.S. Mechanical Engineering, Isfahan University of Technology, Iran 2001 | B.S. Mechanical Engineering, Isfahan University of Technology, Iran 1999</t>
        </is>
      </c>
      <c r="S25" s="3">
        <f>HYPERLINK("https://scholar.google.com/citations?view_op=search_authors&amp;mauthors=Leila%20Ladani%20Arizona%20State%20University", "Google Scholar Search")</f>
        <v/>
      </c>
      <c r="T25" s="2" t="inlineStr"/>
      <c r="U25" s="3">
        <f>HYPERLINK("https://search.asu.edu/profile/ljannesa", "https://search.asu.edu/profile/ljannesa")</f>
        <v/>
      </c>
      <c r="V25" s="2" t="inlineStr"/>
      <c r="W25" s="2" t="b">
        <v>1</v>
      </c>
      <c r="X25" s="3">
        <f>HYPERLINK("https://faculty.engineering.asu.edu/directory/semte/aerospace-and-mechanical-engineering/", "https://faculty.engineering.asu.edu/directory/semte/aerospace-and-mechanical-engineering/")</f>
        <v/>
      </c>
    </row>
    <row r="26">
      <c r="A26" s="2" t="inlineStr">
        <is>
          <t>Patrick Phelan</t>
        </is>
      </c>
      <c r="B26" s="2" t="inlineStr">
        <is>
          <t>Professor</t>
        </is>
      </c>
      <c r="C26" s="3">
        <f>HYPERLINK("mailto:phelan@asu.edu", "phelan@asu.edu")</f>
        <v/>
      </c>
      <c r="D26" s="2" t="inlineStr">
        <is>
          <t>Arizona State University</t>
        </is>
      </c>
      <c r="E26" s="2" t="inlineStr">
        <is>
          <t>Aerospace &amp; Mechanical Engineering</t>
        </is>
      </c>
      <c r="F26" s="2" t="n">
        <v>3</v>
      </c>
      <c r="G26" s="2" t="inlineStr">
        <is>
          <t>aerospace, energy systems, thermal</t>
        </is>
      </c>
      <c r="H26" s="2" t="inlineStr"/>
      <c r="I26" s="2" t="inlineStr"/>
      <c r="J26" s="2" t="inlineStr"/>
      <c r="K26" s="2" t="inlineStr"/>
      <c r="L26" s="2" t="inlineStr"/>
      <c r="M26" s="2" t="inlineStr"/>
      <c r="N26" s="2" t="inlineStr"/>
      <c r="O26" s="2" t="inlineStr">
        <is>
          <t>Thermal engineering, sustainable energy systems, energy management, sustainable cooling systems.</t>
        </is>
      </c>
      <c r="P26" s="2" t="inlineStr">
        <is>
          <t>Building Technology, Solar Energy Systems, Energy Efficiency Technologies, Mechanical Engineering</t>
        </is>
      </c>
      <c r="Q26" s="2" t="inlineStr">
        <is>
          <t>Phelan researches and teaches in the area of sustainable energy, thermal transport and thermal management.</t>
        </is>
      </c>
      <c r="R26" s="2" t="inlineStr">
        <is>
          <t>Postdoctoral Fellow, Tokyo Institute of Technology, Japan 1990-1992 | Ph.D. Mechanical Engineering, University of California, Berkeley 1990 | M.S. Mechanical Engineering, Massachusetts Institute of Technology 1987 | B. S. Mechanical Engineering, Tulane University, New Orleans, LA 1985</t>
        </is>
      </c>
      <c r="S26" s="3">
        <f>HYPERLINK("https://scholar.google.com/citations?view_op=search_authors&amp;mauthors=Patrick%20Phelan%20Arizona%20State%20University", "Google Scholar Search")</f>
        <v/>
      </c>
      <c r="T26" s="2" t="inlineStr"/>
      <c r="U26" s="3">
        <f>HYPERLINK("https://search.asu.edu/profile/pphelan", "https://search.asu.edu/profile/pphelan")</f>
        <v/>
      </c>
      <c r="V26" s="2" t="inlineStr">
        <is>
          <t>ENGRC 463 (TEMPE, AZ 85287-6106)</t>
        </is>
      </c>
      <c r="W26" s="2" t="b">
        <v>1</v>
      </c>
      <c r="X26" s="3">
        <f>HYPERLINK("https://faculty.engineering.asu.edu/directory/semte/aerospace-and-mechanical-engineering/", "https://faculty.engineering.asu.edu/directory/semte/aerospace-and-mechanical-engineering/")</f>
        <v/>
      </c>
    </row>
    <row r="27">
      <c r="A27" s="2" t="inlineStr">
        <is>
          <t>Yulia Peet</t>
        </is>
      </c>
      <c r="B27" s="2" t="inlineStr">
        <is>
          <t>Professor</t>
        </is>
      </c>
      <c r="C27" s="3">
        <f>HYPERLINK("mailto:ypeet@asu.edu", "ypeet@asu.edu")</f>
        <v/>
      </c>
      <c r="D27" s="2" t="inlineStr">
        <is>
          <t>Arizona State University</t>
        </is>
      </c>
      <c r="E27" s="2" t="inlineStr">
        <is>
          <t>Aerospace &amp; Mechanical Engineering</t>
        </is>
      </c>
      <c r="F27" s="2" t="n">
        <v>3</v>
      </c>
      <c r="G27" s="2" t="inlineStr">
        <is>
          <t>aerospace, fluid mechanics, turbulence</t>
        </is>
      </c>
      <c r="H27" s="2" t="inlineStr"/>
      <c r="I27" s="2" t="inlineStr">
        <is>
          <t>Interdisciplinary Simulation and Modeling (ISiM) Lab</t>
        </is>
      </c>
      <c r="J27" s="3">
        <f>HYPERLINK("https://isim.asu.edu", "https://isim.asu.edu")</f>
        <v/>
      </c>
      <c r="K27" s="2" t="inlineStr"/>
      <c r="L27" s="2" t="inlineStr"/>
      <c r="M27" s="2" t="inlineStr"/>
      <c r="N27" s="2" t="inlineStr"/>
      <c r="O27" s="2" t="inlineStr"/>
      <c r="P27" s="2" t="inlineStr"/>
      <c r="Q27" s="2" t="inlineStr">
        <is>
          <t>Yulia Peet is an associate professor of aerospace and mechanical engineering in the School for Engineering of Matter, Transport and Energy with the Ira A. Fulton Schools of Engineering at Arizona State University. Her Ph.D. degree is in Aeronautics and Astronautics from Stanford (2006), M.S. and B.S. degrees are from Moscow Institute of Physics and Technology (1999 and 1997). Her previous appoi...</t>
        </is>
      </c>
      <c r="R27" s="2" t="inlineStr">
        <is>
          <t>Ph.D. Aeronautics and Astronautics, Stanford University 2006 | M.S. Management, State University Higher School of Economics, Moscow, Russia 2000 | M.S. Aeromechanics and Flight Engineering, Moscow Institute of Physics and Technology, Russia 1999 | B.S. Applied Mathematics and Physics, Moscow Institute of Physics and Technology, Russia 1997</t>
        </is>
      </c>
      <c r="S27" s="3">
        <f>HYPERLINK("https://scholar.google.com/citations?hl=en&amp;user=_6o8MrUAAAAJ", "Scholar (_6o8MrUAAAAJ)")</f>
        <v/>
      </c>
      <c r="T27" s="2" t="inlineStr">
        <is>
          <t>_6o8MrUAAAAJ</t>
        </is>
      </c>
      <c r="U27" s="3">
        <f>HYPERLINK("https://search.asu.edu/profile/ypeet", "https://search.asu.edu/profile/ypeet")</f>
        <v/>
      </c>
      <c r="V27" s="2" t="inlineStr"/>
      <c r="W27" s="2" t="b">
        <v>1</v>
      </c>
      <c r="X27" s="3">
        <f>HYPERLINK("https://faculty.engineering.asu.edu/directory/semte/aerospace-and-mechanical-engineering/", "https://faculty.engineering.asu.edu/directory/semte/aerospace-and-mechanical-engineering/")</f>
        <v/>
      </c>
    </row>
    <row r="28">
      <c r="A28" s="2" t="inlineStr">
        <is>
          <t>Houlong Zhuang</t>
        </is>
      </c>
      <c r="B28" s="2" t="inlineStr">
        <is>
          <t>Associate Professor</t>
        </is>
      </c>
      <c r="C28" s="3">
        <f>HYPERLINK("mailto:zhuanghl@asu.edu", "zhuanghl@asu.edu")</f>
        <v/>
      </c>
      <c r="D28" s="2" t="inlineStr">
        <is>
          <t>Arizona State University</t>
        </is>
      </c>
      <c r="E28" s="2" t="inlineStr">
        <is>
          <t>Aerospace &amp; Mechanical Engineering</t>
        </is>
      </c>
      <c r="F28" s="2" t="n">
        <v>2</v>
      </c>
      <c r="G28" s="2" t="inlineStr">
        <is>
          <t>aerospace, materials</t>
        </is>
      </c>
      <c r="H28" s="2" t="inlineStr"/>
      <c r="I28" s="2" t="inlineStr">
        <is>
          <t>Computational Materials Science and Design Lab</t>
        </is>
      </c>
      <c r="J28" s="2" t="inlineStr"/>
      <c r="K28" s="2" t="inlineStr"/>
      <c r="L28" s="2" t="inlineStr"/>
      <c r="M28" s="2" t="inlineStr"/>
      <c r="N28" s="2" t="inlineStr"/>
      <c r="O28" s="2" t="inlineStr">
        <is>
          <t>Quantum simulations Machine learning Quantum computing</t>
        </is>
      </c>
      <c r="P28" s="2" t="inlineStr">
        <is>
          <t>Artificial Photosynthesis, Chemistry, Computational Physics, Machine Learning, Materials Science, Metals, Nanoscience, Semiconductors</t>
        </is>
      </c>
      <c r="Q28" s="2" t="inlineStr">
        <is>
          <t>Dr. Houlong Zhuang is an associate professor in the School for Engineering of Matter, Transport and Energy at ASU. He received his doctorate in materials science and engineering at Cornell University. Prior to ASU, Dr. Zhuang was a postdoctoral researcher at Princeton University. Dr. Zhuang’s current research interests are quantum mechanical simulations, machine learning, and quantum computing.</t>
        </is>
      </c>
      <c r="R28" s="2" t="inlineStr">
        <is>
          <t>Postdoc, Department of Mechanical and Aerospace Engineering, Princeton University Postdoc, Center for Nanophase Materials Sciences, Oak Ridge National Laboratory Ph.D., Major: Materials Science and Engineering; Minor: Applied Engineering Physics, Cornell University M.S., Major: Materials Science and Engineering; Minor: Applied Engineering Physics, Cornell University M.Phil., Mechanical Engineering, The University of Hong Kong B.Eng., Materials Science and Engineering, Hunan University</t>
        </is>
      </c>
      <c r="S28" s="3">
        <f>HYPERLINK("https://scholar.google.com/citations?hl=en&amp;user=4yYKCpUAAAAJ", "Scholar (4yYKCpUAAAAJ)")</f>
        <v/>
      </c>
      <c r="T28" s="2" t="inlineStr">
        <is>
          <t>4yYKCpUAAAAJ</t>
        </is>
      </c>
      <c r="U28" s="3">
        <f>HYPERLINK("https://search.asu.edu/profile/hzhuang7", "https://search.asu.edu/profile/hzhuang7")</f>
        <v/>
      </c>
      <c r="V28" s="2" t="inlineStr"/>
      <c r="W28" s="2" t="b">
        <v>1</v>
      </c>
      <c r="X28" s="3">
        <f>HYPERLINK("https://faculty.engineering.asu.edu/directory/semte/aerospace-and-mechanical-engineering/", "https://faculty.engineering.asu.edu/directory/semte/aerospace-and-mechanical-engineering/")</f>
        <v/>
      </c>
    </row>
    <row r="29">
      <c r="A29" s="2" t="inlineStr">
        <is>
          <t>Huei-Ping Huang</t>
        </is>
      </c>
      <c r="B29" s="2" t="inlineStr">
        <is>
          <t>Associate Professor</t>
        </is>
      </c>
      <c r="C29" s="3">
        <f>HYPERLINK("mailto:Huei-Ping.Huang@asu.edu", "Huei-Ping.Huang@asu.edu")</f>
        <v/>
      </c>
      <c r="D29" s="2" t="inlineStr">
        <is>
          <t>Arizona State University</t>
        </is>
      </c>
      <c r="E29" s="2" t="inlineStr">
        <is>
          <t>Aerospace &amp; Mechanical Engineering</t>
        </is>
      </c>
      <c r="F29" s="2" t="n">
        <v>2</v>
      </c>
      <c r="G29" s="2" t="inlineStr">
        <is>
          <t>aerospace, fluid dynamics</t>
        </is>
      </c>
      <c r="H29" s="2" t="inlineStr"/>
      <c r="I29" s="2" t="inlineStr"/>
      <c r="J29" s="3">
        <f>HYPERLINK("http://www.public.asu.edu/~hhuang38", "http://www.public.asu.edu/~hhuang38")</f>
        <v/>
      </c>
      <c r="K29" s="2" t="inlineStr"/>
      <c r="L29" s="2" t="inlineStr"/>
      <c r="M29" s="2" t="inlineStr"/>
      <c r="N29" s="2" t="inlineStr">
        <is>
          <t>Log in to www_public</t>
        </is>
      </c>
      <c r="O29" s="2" t="inlineStr"/>
      <c r="P29" s="2" t="inlineStr"/>
      <c r="Q29" s="2" t="inlineStr">
        <is>
          <t>Huang's research interests are geophysical and environmental fluid dynamics, numerical simulation of atmospheric and oceanic flows, Earth system remote sensing, and climate change.</t>
        </is>
      </c>
      <c r="R29" s="2" t="inlineStr">
        <is>
          <t>Ph.D. University of Illinois-Urbana-Champaign 1997 | M.S. National Taiwan University 1989 | B.S. National Central University,Taiwan 1987</t>
        </is>
      </c>
      <c r="S29" s="3">
        <f>HYPERLINK("https://scholar.google.com/citations?view_op=search_authors&amp;mauthors=Huei-Ping%20Huang%20Arizona%20State%20University", "Google Scholar Search")</f>
        <v/>
      </c>
      <c r="T29" s="2" t="inlineStr"/>
      <c r="U29" s="3">
        <f>HYPERLINK("https://search.asu.edu/profile/hhuang38", "https://search.asu.edu/profile/hhuang38")</f>
        <v/>
      </c>
      <c r="V29" s="2" t="inlineStr">
        <is>
          <t>ENGRC 359 (Tempe, AZ 85287-6106)</t>
        </is>
      </c>
      <c r="W29" s="2" t="b">
        <v>1</v>
      </c>
      <c r="X29" s="3">
        <f>HYPERLINK("https://faculty.engineering.asu.edu/directory/semte/aerospace-and-mechanical-engineering/", "https://faculty.engineering.asu.edu/directory/semte/aerospace-and-mechanical-engineering/")</f>
        <v/>
      </c>
    </row>
    <row r="30">
      <c r="A30" s="2" t="inlineStr">
        <is>
          <t>Jagannathan Rajagopalan</t>
        </is>
      </c>
      <c r="B30" s="2" t="inlineStr">
        <is>
          <t>Associate Professor</t>
        </is>
      </c>
      <c r="C30" s="3">
        <f>HYPERLINK("mailto:Jagannathan.Rajagopalan@asu.edu", "Jagannathan.Rajagopalan@asu.edu")</f>
        <v/>
      </c>
      <c r="D30" s="2" t="inlineStr">
        <is>
          <t>Arizona State University</t>
        </is>
      </c>
      <c r="E30" s="2" t="inlineStr">
        <is>
          <t>Aerospace &amp; Mechanical Engineering</t>
        </is>
      </c>
      <c r="F30" s="2" t="n">
        <v>2</v>
      </c>
      <c r="G30" s="2" t="inlineStr">
        <is>
          <t>aerospace, materials</t>
        </is>
      </c>
      <c r="H30" s="2" t="inlineStr"/>
      <c r="I30" s="2" t="inlineStr">
        <is>
          <t>Nanomechanics Laboratory</t>
        </is>
      </c>
      <c r="J30" s="3">
        <f>HYPERLINK("http://faculty.engineering.asu.edu/jagan/", "http://faculty.engineering.asu.edu/jagan/")</f>
        <v/>
      </c>
      <c r="K30" s="2" t="inlineStr"/>
      <c r="L30" s="2" t="inlineStr"/>
      <c r="M30" s="2" t="inlineStr"/>
      <c r="N30" s="2" t="inlineStr">
        <is>
          <t>Nanostructured Materials</t>
        </is>
      </c>
      <c r="O30" s="2" t="inlineStr">
        <is>
          <t>Synthesis of nanocrystalline materials with tailored microstructures, Mechanics of nanostructured metal and alloy films, MEMS for in situ materials testing, Polymer based micro devices for cell mechanics and biohybrid platforms</t>
        </is>
      </c>
      <c r="P30" s="2" t="inlineStr">
        <is>
          <t>Thin Film Materials, Materials Science, Mechanical Engineering</t>
        </is>
      </c>
      <c r="Q30" s="2" t="inlineStr">
        <is>
          <t>Rajagopalan's research focuses on the mechanics of nanoscale materials, cells and biological systems.</t>
        </is>
      </c>
      <c r="R30" s="2" t="inlineStr">
        <is>
          <t>Ph.D. Mechanical Science and Engineering, University of Illinois at Urbana-Champaign, Urbana, IL 2009 | M.Tech. Mechanical Engineering, Indian Institute of Technology Madras, Chennai, India 2004 | B.Tech. Mechanical Engineering, Indian Institute of Technology Madras, Chennai, India 2004</t>
        </is>
      </c>
      <c r="S30" s="3">
        <f>HYPERLINK("https://scholar.google.com/citations?hl=en&amp;user=ClqRIhIAAAAJ", "Scholar (ClqRIhIAAAAJ)")</f>
        <v/>
      </c>
      <c r="T30" s="2" t="inlineStr">
        <is>
          <t>ClqRIhIAAAAJ</t>
        </is>
      </c>
      <c r="U30" s="3">
        <f>HYPERLINK("https://search.asu.edu/profile/jrajago1", "https://search.asu.edu/profile/jrajago1")</f>
        <v/>
      </c>
      <c r="V30" s="2" t="inlineStr">
        <is>
          <t>ENGRC 355 (Tempe, AZ 85287-6106)</t>
        </is>
      </c>
      <c r="W30" s="2" t="b">
        <v>1</v>
      </c>
      <c r="X30" s="3">
        <f>HYPERLINK("https://faculty.engineering.asu.edu/directory/semte/aerospace-and-mechanical-engineering/", "https://faculty.engineering.asu.edu/directory/semte/aerospace-and-mechanical-engineering/")</f>
        <v/>
      </c>
    </row>
    <row r="31">
      <c r="A31" s="2" t="inlineStr">
        <is>
          <t>Konrad Rykaczewski</t>
        </is>
      </c>
      <c r="B31" s="2" t="inlineStr">
        <is>
          <t>Associate Professor</t>
        </is>
      </c>
      <c r="C31" s="3">
        <f>HYPERLINK("mailto:konradr@asu.edu", "konradr@asu.edu")</f>
        <v/>
      </c>
      <c r="D31" s="2" t="inlineStr">
        <is>
          <t>Arizona State University</t>
        </is>
      </c>
      <c r="E31" s="2" t="inlineStr">
        <is>
          <t>Aerospace &amp; Mechanical Engineering</t>
        </is>
      </c>
      <c r="F31" s="2" t="n">
        <v>2</v>
      </c>
      <c r="G31" s="2" t="inlineStr">
        <is>
          <t>materials, thermal</t>
        </is>
      </c>
      <c r="H31" s="2" t="inlineStr"/>
      <c r="I31" s="2" t="inlineStr">
        <is>
          <t>Nano-Bio-Thermal Engineering Laboratory</t>
        </is>
      </c>
      <c r="J31" s="3">
        <f>HYPERLINK("http://faculty.engineering.asu.edu/konrad/", "http://faculty.engineering.asu.edu/konrad/")</f>
        <v/>
      </c>
      <c r="K31" s="2" t="inlineStr"/>
      <c r="L31" s="2" t="inlineStr"/>
      <c r="M31" s="2" t="inlineStr"/>
      <c r="N31" s="2" t="inlineStr"/>
      <c r="O31" s="2" t="inlineStr"/>
      <c r="P31" s="2" t="inlineStr"/>
      <c r="Q31" s="2" t="inlineStr">
        <is>
          <t>Rykaczewski's research focuses on development of soft thermal materials and system as well as studying human thermal exposure in extreme heat.</t>
        </is>
      </c>
      <c r="R31" s="2" t="inlineStr">
        <is>
          <t>Ph.D. Mechanical Engineering, Georgia Institute of Technology 2009 | M.S. Mechanical Engineering, Georgia Institute of Technology 2007 | B.S. Mechanical Engineering, Georgia Institute of Technology 2005</t>
        </is>
      </c>
      <c r="S31" s="3">
        <f>HYPERLINK("https://scholar.google.com/citations?hl=en&amp;user=SWeAf4UAAAAJ", "Scholar (SWeAf4UAAAAJ)")</f>
        <v/>
      </c>
      <c r="T31" s="2" t="inlineStr">
        <is>
          <t>SWeAf4UAAAAJ</t>
        </is>
      </c>
      <c r="U31" s="3">
        <f>HYPERLINK("https://search.asu.edu/profile/krykacze", "https://search.asu.edu/profile/krykacze")</f>
        <v/>
      </c>
      <c r="V31" s="2" t="inlineStr">
        <is>
          <t>ENGRC 309 (Tempe, AZ 85287)</t>
        </is>
      </c>
      <c r="W31" s="2" t="b">
        <v>1</v>
      </c>
      <c r="X31" s="3">
        <f>HYPERLINK("https://faculty.engineering.asu.edu/directory/semte/aerospace-and-mechanical-engineering/", "https://faculty.engineering.asu.edu/directory/semte/aerospace-and-mechanical-engineering/")</f>
        <v/>
      </c>
    </row>
    <row r="32">
      <c r="A32" s="2" t="inlineStr">
        <is>
          <t>Minglei Qu</t>
        </is>
      </c>
      <c r="B32" s="2" t="inlineStr">
        <is>
          <t>Assistant Professor</t>
        </is>
      </c>
      <c r="C32" s="3">
        <f>HYPERLINK("mailto:minglei.qu@asu.edu", "minglei.qu@asu.edu")</f>
        <v/>
      </c>
      <c r="D32" s="2" t="inlineStr">
        <is>
          <t>Arizona State University</t>
        </is>
      </c>
      <c r="E32" s="2" t="inlineStr">
        <is>
          <t>Aerospace &amp; Mechanical Engineering</t>
        </is>
      </c>
      <c r="F32" s="2" t="n">
        <v>2</v>
      </c>
      <c r="G32" s="2" t="inlineStr">
        <is>
          <t>composites, materials</t>
        </is>
      </c>
      <c r="H32" s="2" t="inlineStr"/>
      <c r="I32" s="2" t="inlineStr"/>
      <c r="J32" s="2" t="inlineStr"/>
      <c r="K32" s="2" t="inlineStr"/>
      <c r="L32" s="2" t="inlineStr"/>
      <c r="M32" s="2" t="inlineStr"/>
      <c r="N32" s="2" t="inlineStr"/>
      <c r="O32" s="2" t="inlineStr">
        <is>
          <t>Metal additive manufacturing, in-situ synchrotron X-ray and neutron characterization, non-equilibrium phase transformation, metal matrix composites. Selected Publications M. Qu , J. Yuan, Q. Guo, A. Nabaa, L. I. Escano, J. Huang, Q. Li, L. Chen. Achieving uniformly refined grain structure in metal additive manufacturing: Experimental demonstration and analytical model development. Additive Manufacturing 108 (2025) 104805. M. Qu , D. Yu, J. Yuan, L. Chen, K. An, Y. Chen. Multi-stage load partitioning in additively manufactured Al6061+TiC nanocomposite characterized by in-situ neutron diffraction. Additive Manufacturing, 96 (2024) 104584. M. Qu , J. Yuan, A. Nabaa, J. Huang, C. A. Chuang, L. Chen. Melting and solidification dynamics during laser additive manufacturing of reaction-based metal matrix composites uncovered by in-situ synchrotron X-ray diffraction. Acta Materialia , 271 (2024) 119875. M. Qu , Q. Guo, L. I. Escano, A. Nabaa, S. M. H. Hojjatzadeh, Z. A. Young, L. Chen. Controlling process instability for defect lean metal additive manufacturing. Nature Communications , 13 (2022) 1079. M. Qu , Q. Guo, L. I. Escano, A. Nabaa, K. Fezzaa, L. Chen. Nanoparticle-enabled increase of energy efficiency during laser metal additive manufacturing. Additive Manufacturing , 60 (2022) 103242. M. Qu , Q.Guo, L. I. Escano, J. Yuan, S. J. Clark, K. Fezzaa, L. Chen. Controlling melt flow by nanoparticles to eliminate surface wave induced surface fluctuation. Additive Manufacturing , 59 (2022) 103081.</t>
        </is>
      </c>
      <c r="P32" s="2" t="inlineStr"/>
      <c r="Q32" s="2" t="inlineStr">
        <is>
          <t>Minglei Qu is an Assistant Professor of Mechanical Engineering and a graduate faculty of Materials Science and Engineering in the School for Engineering of Matter, Transport and Energy at ASU. His research lies at the intersection of metal additive manufacturing, in-situ characterization, and materials science. By utilizing advanced in-situ characterization tools, including synchrotron X-ray im...</t>
        </is>
      </c>
      <c r="R32" s="2" t="inlineStr">
        <is>
          <t>PhD. Mechanical Engineering, University of Wisconsin-Madison 2023</t>
        </is>
      </c>
      <c r="S32" s="3">
        <f>HYPERLINK("https://scholar.google.com/citations?hl=en&amp;user=9LWNC50AAAAJ", "Scholar (9LWNC50AAAAJ)")</f>
        <v/>
      </c>
      <c r="T32" s="2" t="inlineStr">
        <is>
          <t>9LWNC50AAAAJ</t>
        </is>
      </c>
      <c r="U32" s="3">
        <f>HYPERLINK("https://search.asu.edu/profile/mingleiq", "https://search.asu.edu/profile/mingleiq")</f>
        <v/>
      </c>
      <c r="V32" s="2" t="inlineStr">
        <is>
          <t>Campus: Tempe</t>
        </is>
      </c>
      <c r="W32" s="2" t="b">
        <v>1</v>
      </c>
      <c r="X32" s="3">
        <f>HYPERLINK("https://faculty.engineering.asu.edu/directory/semte/aerospace-and-mechanical-engineering/", "https://faculty.engineering.asu.edu/directory/semte/aerospace-and-mechanical-engineering/")</f>
        <v/>
      </c>
    </row>
    <row r="33">
      <c r="A33" s="2" t="inlineStr">
        <is>
          <t>Qiong Nian</t>
        </is>
      </c>
      <c r="B33" s="2" t="inlineStr">
        <is>
          <t>Associate Professor</t>
        </is>
      </c>
      <c r="C33" s="3">
        <f>HYPERLINK("mailto:Qiong.Nian@asu.edu", "Qiong.Nian@asu.edu")</f>
        <v/>
      </c>
      <c r="D33" s="2" t="inlineStr">
        <is>
          <t>Arizona State University</t>
        </is>
      </c>
      <c r="E33" s="2" t="inlineStr">
        <is>
          <t>Aerospace &amp; Mechanical Engineering</t>
        </is>
      </c>
      <c r="F33" s="2" t="n">
        <v>2</v>
      </c>
      <c r="G33" s="2" t="inlineStr">
        <is>
          <t>aerospace, materials</t>
        </is>
      </c>
      <c r="H33" s="2" t="inlineStr"/>
      <c r="I33" s="2" t="inlineStr"/>
      <c r="J33" s="3">
        <f>HYPERLINK("https://mmmplab.engineering.asu.edu/", "https://mmmplab.engineering.asu.edu/")</f>
        <v/>
      </c>
      <c r="K33" s="2" t="inlineStr"/>
      <c r="L33" s="2" t="inlineStr">
        <is>
          <t>NSF</t>
        </is>
      </c>
      <c r="M33" s="2" t="inlineStr"/>
      <c r="N33" s="2" t="inlineStr">
        <is>
          <t>Multi-scale Manufacturing Material Processing Lab (MMMPL)</t>
        </is>
      </c>
      <c r="O33" s="2" t="inlineStr">
        <is>
          <t>Nanomanufacturing, additive manufacturing, laser-based material processing, laser matter interaction and physics simulation; inkjet printing of functional materials; and 2D materials fabrication for energy storage and bio-sensors.</t>
        </is>
      </c>
      <c r="P33" s="2" t="inlineStr">
        <is>
          <t>Additive Manufacturing, Manufacturing Engineering, Mechanical Engineering</t>
        </is>
      </c>
      <c r="Q33" s="2" t="inlineStr">
        <is>
          <t>Nian's research interests include additive manufacturing, laser-based manufacturing and material processing, laser matter interaction and physics simulation, and functional materials for energy storage and bio-sensors.</t>
        </is>
      </c>
      <c r="R33" s="2" t="inlineStr">
        <is>
          <t>Ph.D. Manufacturing, Industrial Engineering, Purdue University 2015 | B.Sc. Materials Science and Engineering, University of Science and Technology of China 2009</t>
        </is>
      </c>
      <c r="S33" s="3">
        <f>HYPERLINK("https://scholar.google.com/citations?view_op=search_authors&amp;mauthors=Qiong%20Nian%20Arizona%20State%20University", "Google Scholar Search")</f>
        <v/>
      </c>
      <c r="T33" s="2" t="inlineStr"/>
      <c r="U33" s="3">
        <f>HYPERLINK("https://search.asu.edu/profile/qnian", "https://search.asu.edu/profile/qnian")</f>
        <v/>
      </c>
      <c r="V33" s="2" t="inlineStr">
        <is>
          <t>Campus: Tempe</t>
        </is>
      </c>
      <c r="W33" s="2" t="b">
        <v>1</v>
      </c>
      <c r="X33" s="3">
        <f>HYPERLINK("https://faculty.engineering.asu.edu/directory/semte/aerospace-and-mechanical-engineering/", "https://faculty.engineering.asu.edu/directory/semte/aerospace-and-mechanical-engineering/")</f>
        <v/>
      </c>
    </row>
    <row r="34">
      <c r="A34" s="2" t="inlineStr">
        <is>
          <t>Ronald Calhoun</t>
        </is>
      </c>
      <c r="B34" s="2" t="inlineStr">
        <is>
          <t>Associate Professor</t>
        </is>
      </c>
      <c r="C34" s="3">
        <f>HYPERLINK("mailto:Ronald.Calhoun@asu.edu", "Ronald.Calhoun@asu.edu")</f>
        <v/>
      </c>
      <c r="D34" s="2" t="inlineStr">
        <is>
          <t>Arizona State University</t>
        </is>
      </c>
      <c r="E34" s="2" t="inlineStr">
        <is>
          <t>Aerospace &amp; Mechanical Engineering</t>
        </is>
      </c>
      <c r="F34" s="2" t="n">
        <v>2</v>
      </c>
      <c r="G34" s="2" t="inlineStr">
        <is>
          <t>boundary layer, fluid dynamics</t>
        </is>
      </c>
      <c r="H34" s="2" t="inlineStr"/>
      <c r="I34" s="2" t="inlineStr">
        <is>
          <t>Wind Energy and Atmospheric Boundary Layer Lab</t>
        </is>
      </c>
      <c r="J34" s="3">
        <f>HYPERLINK("https://windlab.engineering.asu.edu/ronald-calhoun/", "https://windlab.engineering.asu.edu/ronald-calhoun/")</f>
        <v/>
      </c>
      <c r="K34" s="2" t="inlineStr"/>
      <c r="L34" s="2" t="inlineStr">
        <is>
          <t>DOE, NASA</t>
        </is>
      </c>
      <c r="M34" s="2" t="inlineStr"/>
      <c r="N34" s="2" t="inlineStr">
        <is>
          <t>Environmental Remote SensingGroup</t>
        </is>
      </c>
      <c r="O34" s="2" t="inlineStr"/>
      <c r="P34" s="2" t="inlineStr"/>
      <c r="Q34" s="2" t="inlineStr">
        <is>
          <t>Calhoun’s research interests are in fluid dynamics; atmospheric sciences; boundary layer; wind energy and remote sensing.</t>
        </is>
      </c>
      <c r="R34" s="2" t="inlineStr">
        <is>
          <t>Ph.D. Civil and Environmental Engineering, Stanford University 1998 | Engineer. Civil and Environmental Engineering, Stanford University 1993 | M.S. Civil and Environmental Engineering, Stanford University 1992 | B.S. Symbolic Systems, Stanford University 1989</t>
        </is>
      </c>
      <c r="S34" s="3">
        <f>HYPERLINK("https://scholar.google.com/citations?view_op=search_authors&amp;mauthors=Ronald%20Calhoun%20Arizona%20State%20University", "Google Scholar Search")</f>
        <v/>
      </c>
      <c r="T34" s="2" t="inlineStr"/>
      <c r="U34" s="3">
        <f>HYPERLINK("https://search.asu.edu/profile/rcalhou", "https://search.asu.edu/profile/rcalhou")</f>
        <v/>
      </c>
      <c r="V34" s="2" t="inlineStr">
        <is>
          <t>Goldwater 466 (TEMPE, AZ 85287-6106)</t>
        </is>
      </c>
      <c r="W34" s="2" t="b">
        <v>1</v>
      </c>
      <c r="X34" s="3">
        <f>HYPERLINK("https://faculty.engineering.asu.edu/directory/semte/aerospace-and-mechanical-engineering/", "https://faculty.engineering.asu.edu/directory/semte/aerospace-and-mechanical-engineering/")</f>
        <v/>
      </c>
    </row>
    <row r="35">
      <c r="A35" s="2" t="inlineStr">
        <is>
          <t>Wanxin Jin</t>
        </is>
      </c>
      <c r="B35" s="2" t="inlineStr">
        <is>
          <t>Assistant Professor</t>
        </is>
      </c>
      <c r="C35" s="3">
        <f>HYPERLINK("mailto:wjin@asu.edu", "wjin@asu.edu")</f>
        <v/>
      </c>
      <c r="D35" s="2" t="inlineStr">
        <is>
          <t>Arizona State University</t>
        </is>
      </c>
      <c r="E35" s="2" t="inlineStr">
        <is>
          <t>Aerospace &amp; Mechanical Engineering</t>
        </is>
      </c>
      <c r="F35" s="2" t="n">
        <v>2</v>
      </c>
      <c r="G35" s="2" t="inlineStr">
        <is>
          <t>robot, robotics</t>
        </is>
      </c>
      <c r="H35" s="2" t="inlineStr"/>
      <c r="I35" s="2" t="inlineStr">
        <is>
          <t>Intelligent Robotics and Interactive Systems Lab (IRIS Lab)</t>
        </is>
      </c>
      <c r="J35" s="3">
        <f>HYPERLINK("https://irislab.tech/", "https://irislab.tech/")</f>
        <v/>
      </c>
      <c r="K35" s="2" t="inlineStr"/>
      <c r="L35" s="2" t="inlineStr">
        <is>
          <t>NSF</t>
        </is>
      </c>
      <c r="M35" s="2" t="inlineStr">
        <is>
          <t>https://github.com/asu-iris</t>
        </is>
      </c>
      <c r="N35" s="2" t="inlineStr">
        <is>
          <t>Recent Updates</t>
        </is>
      </c>
      <c r="O35" s="2" t="inlineStr">
        <is>
          <t>https://irislab.tech/</t>
        </is>
      </c>
      <c r="P35" s="2" t="inlineStr"/>
      <c r="Q35" s="2" t="inlineStr">
        <is>
          <t>Jin's research includes robotics, control and machine learning, with a focus on the autonomy of robots interacting with humans and objects.</t>
        </is>
      </c>
      <c r="R35" s="2" t="inlineStr">
        <is>
          <t>Ph.D., Purdue University 2021 | Master of Science, Harbin Institute of Technology, 2016 | Bachelor of Engineering, Harbin Institute of Technology, 2014</t>
        </is>
      </c>
      <c r="S35" s="3">
        <f>HYPERLINK("https://scholar.google.com/citations?hl=en&amp;user=SoEC4h4AAAAJ", "Scholar (SoEC4h4AAAAJ)")</f>
        <v/>
      </c>
      <c r="T35" s="2" t="inlineStr">
        <is>
          <t>SoEC4h4AAAAJ</t>
        </is>
      </c>
      <c r="U35" s="3">
        <f>HYPERLINK("https://search.asu.edu/profile/wjin34", "https://search.asu.edu/profile/wjin34")</f>
        <v/>
      </c>
      <c r="V35" s="2" t="inlineStr"/>
      <c r="W35" s="2" t="b">
        <v>1</v>
      </c>
      <c r="X35" s="3">
        <f>HYPERLINK("https://faculty.engineering.asu.edu/directory/semte/aerospace-and-mechanical-engineering/", "https://faculty.engineering.asu.edu/directory/semte/aerospace-and-mechanical-engineering/")</f>
        <v/>
      </c>
    </row>
    <row r="36">
      <c r="A36" s="2" t="inlineStr">
        <is>
          <t>Yongming Liu</t>
        </is>
      </c>
      <c r="B36" s="2" t="inlineStr">
        <is>
          <t>Professor</t>
        </is>
      </c>
      <c r="C36" s="3">
        <f>HYPERLINK("mailto:Yongming.Liu@asu.edu", "Yongming.Liu@asu.edu")</f>
        <v/>
      </c>
      <c r="D36" s="2" t="inlineStr">
        <is>
          <t>Arizona State University</t>
        </is>
      </c>
      <c r="E36" s="2" t="inlineStr">
        <is>
          <t>Aerospace &amp; Mechanical Engineering</t>
        </is>
      </c>
      <c r="F36" s="2" t="n">
        <v>2</v>
      </c>
      <c r="G36" s="2" t="inlineStr">
        <is>
          <t>aerospace, materials</t>
        </is>
      </c>
      <c r="H36" s="2" t="inlineStr"/>
      <c r="I36" s="2" t="inlineStr">
        <is>
          <t>Prognostics and Health Management (PHM) Lab</t>
        </is>
      </c>
      <c r="J36" s="2" t="inlineStr"/>
      <c r="K36" s="2" t="inlineStr"/>
      <c r="L36" s="2" t="inlineStr"/>
      <c r="M36" s="2" t="inlineStr"/>
      <c r="N36" s="2" t="inlineStr"/>
      <c r="O36" s="2" t="inlineStr">
        <is>
          <t>Yongming Liu is a professor of aerospace and mechanical engineering with the School for Engineering of Matter, Transport and Energy at Arizona State University. Fatigue and fracture of engineering materials and structures, probabilistic computational mechanics, risk assessment and management, multi-physics damage modeling and structural durability, multi-scale uncertainty quantification and propagation, imaging-based experimental testing, diagnostics and prognostics</t>
        </is>
      </c>
      <c r="P36" s="2" t="inlineStr"/>
      <c r="Q36" s="2" t="inlineStr">
        <is>
          <t>Liu heads the Prognostic Analysis and Reliability Assessment Laboratory (PARA). He joined ASU in 2012.</t>
        </is>
      </c>
      <c r="R36" s="2" t="inlineStr">
        <is>
          <t>Ph.D. Civil Engineering, Vanderbilt University 2006 | M.S. Structural Engineering, Tongji University, Shanghai, China 2002 | B.S. Structural Engineering, Tongji University, Shanghai, China 1999</t>
        </is>
      </c>
      <c r="S36" s="3">
        <f>HYPERLINK("https://scholar.google.com/citations?view_op=search_authors&amp;mauthors=Yongming%20Liu%20Arizona%20State%20University", "Google Scholar Search")</f>
        <v/>
      </c>
      <c r="T36" s="2" t="inlineStr"/>
      <c r="U36" s="3">
        <f>HYPERLINK("https://search.asu.edu/profile/yliu35", "https://search.asu.edu/profile/yliu35")</f>
        <v/>
      </c>
      <c r="V36" s="2" t="inlineStr">
        <is>
          <t>ENGRC 409 (Tempe, AZ 85287-6106)</t>
        </is>
      </c>
      <c r="W36" s="2" t="b">
        <v>1</v>
      </c>
      <c r="X36" s="3">
        <f>HYPERLINK("https://faculty.engineering.asu.edu/directory/semte/aerospace-and-mechanical-engineering/", "https://faculty.engineering.asu.edu/directory/semte/aerospace-and-mechanical-engineering/")</f>
        <v/>
      </c>
    </row>
    <row r="37">
      <c r="A37" s="2" t="inlineStr">
        <is>
          <t>Cindy (Xiangjia) Li</t>
        </is>
      </c>
      <c r="B37" s="2" t="inlineStr">
        <is>
          <t>Associate Professor</t>
        </is>
      </c>
      <c r="C37" s="3">
        <f>HYPERLINK("mailto:xiangjia.li@asu.edu", "xiangjia.li@asu.edu")</f>
        <v/>
      </c>
      <c r="D37" s="2" t="inlineStr">
        <is>
          <t>Arizona State University</t>
        </is>
      </c>
      <c r="E37" s="2" t="inlineStr">
        <is>
          <t>Aerospace &amp; Mechanical Engineering</t>
        </is>
      </c>
      <c r="F37" s="2" t="n">
        <v>1</v>
      </c>
      <c r="G37" s="2" t="inlineStr">
        <is>
          <t>materials</t>
        </is>
      </c>
      <c r="H37" s="2" t="inlineStr"/>
      <c r="I37" s="2" t="inlineStr">
        <is>
          <t>Advanced Manufacturing and Bio-inspired Design Lab</t>
        </is>
      </c>
      <c r="J37" s="3">
        <f>HYPERLINK("https://www.cindyxjli.com/", "https://www.cindyxjli.com/")</f>
        <v/>
      </c>
      <c r="K37" s="2" t="inlineStr"/>
      <c r="L37" s="2" t="inlineStr">
        <is>
          <t>NSF</t>
        </is>
      </c>
      <c r="M37" s="2" t="inlineStr"/>
      <c r="N37" s="2" t="inlineStr">
        <is>
          <t>Manufacturing</t>
        </is>
      </c>
      <c r="O37" s="2" t="inlineStr">
        <is>
          <t>Biomimetic Additive Manufacturing (3D Printing); Bioinspired Material and Structure Design; Stereolithography; Photopolymerization based 3D Printing; Multi-material and Multi-scale 3D printing; Biofabrication; Biomaterial; Ceramic Printing; Nanocomposite Printing; Physical Field Assisted Printing; 4D Printing; Flexible Sensor; Biomedical Device; Tissue Repair and Regeneration.</t>
        </is>
      </c>
      <c r="P37" s="2" t="inlineStr">
        <is>
          <t>Ceramic Technology, Mechanics of Composite Materials, Mechanical Engineering, Biomimicry, 3D Printing, Additive Manufacturing, Manufacturing Engineering</t>
        </is>
      </c>
      <c r="Q37" s="2" t="inlineStr">
        <is>
          <t>Xiangjia (Cindy) Li is an Associate Professor at Arizona State University. Her research focuses on multiscale, multimaterial additive manufacturing and bioinspired design for functional materials and devices.</t>
        </is>
      </c>
      <c r="R37" s="2" t="inlineStr">
        <is>
          <t>Ph.D. in Industrial and Systems Engineering, University of Southern California, 2019 M.S. in Computer Science, University of Southern California, 2019 M.S. in Manufacturing Engineering, Nanjing University of Aeronautics and Astronautics, 2014 B.E. in Mechanical Engineering and Automation, Nanjing University of Aeronautics and Astronautics, 2011</t>
        </is>
      </c>
      <c r="S37" s="3">
        <f>HYPERLINK("https://scholar.google.com/citations?hl=en&amp;user=tGQzHJIAAAAJ", "Scholar (tGQzHJIAAAAJ)")</f>
        <v/>
      </c>
      <c r="T37" s="2" t="inlineStr">
        <is>
          <t>tGQzHJIAAAAJ</t>
        </is>
      </c>
      <c r="U37" s="3">
        <f>HYPERLINK("https://search.asu.edu/profile/xiangji5", "https://search.asu.edu/profile/xiangji5")</f>
        <v/>
      </c>
      <c r="V37" s="2" t="inlineStr"/>
      <c r="W37" s="2" t="b">
        <v>1</v>
      </c>
      <c r="X37" s="3">
        <f>HYPERLINK("https://faculty.engineering.asu.edu/directory/semte/aerospace-and-mechanical-engineering/", "https://faculty.engineering.asu.edu/directory/semte/aerospace-and-mechanical-engineering/")</f>
        <v/>
      </c>
    </row>
    <row r="38">
      <c r="A38" s="2" t="inlineStr">
        <is>
          <t>James Middleton</t>
        </is>
      </c>
      <c r="B38" s="2" t="inlineStr">
        <is>
          <t>Professor</t>
        </is>
      </c>
      <c r="C38" s="3">
        <f>HYPERLINK("mailto:jimbo@asu.edu", "jimbo@asu.edu")</f>
        <v/>
      </c>
      <c r="D38" s="2" t="inlineStr">
        <is>
          <t>Arizona State University</t>
        </is>
      </c>
      <c r="E38" s="2" t="inlineStr">
        <is>
          <t>Aerospace &amp; Mechanical Engineering</t>
        </is>
      </c>
      <c r="F38" s="2" t="n">
        <v>1</v>
      </c>
      <c r="G38" s="2" t="inlineStr">
        <is>
          <t>aerospace</t>
        </is>
      </c>
      <c r="H38" s="2" t="inlineStr"/>
      <c r="I38" s="2" t="inlineStr"/>
      <c r="J38" s="2" t="inlineStr"/>
      <c r="K38" s="2" t="inlineStr"/>
      <c r="L38" s="2" t="inlineStr"/>
      <c r="M38" s="2" t="inlineStr"/>
      <c r="N38" s="2" t="inlineStr"/>
      <c r="O38" s="2" t="inlineStr">
        <is>
          <t>Student learning of mathematical concepts. Motivation and mathematics learning. Teacher change. Applications of technology to mathematics teaching and learning.</t>
        </is>
      </c>
      <c r="P38" s="2" t="inlineStr"/>
      <c r="Q38" s="2" t="inlineStr">
        <is>
          <t>Middleton’s research interests focus in the following areas where he has published extensively: children’s mathematical thinking; teacher and student motivation in mathematics; and teacher change in mathematics.</t>
        </is>
      </c>
      <c r="R38" s="2" t="inlineStr">
        <is>
          <t>Ph.D. Educational Psychology, University of Wisconsin-Madison 1992</t>
        </is>
      </c>
      <c r="S38" s="3">
        <f>HYPERLINK("https://scholar.google.com/citations?view_op=search_authors&amp;mauthors=James%20Middleton%20Arizona%20State%20University", "Google Scholar Search")</f>
        <v/>
      </c>
      <c r="T38" s="2" t="inlineStr"/>
      <c r="U38" s="3">
        <f>HYPERLINK("https://search.asu.edu/profile/jimbo", "https://search.asu.edu/profile/jimbo")</f>
        <v/>
      </c>
      <c r="V38" s="2" t="inlineStr">
        <is>
          <t>ENGRC 381 (TEMPE, AZ 85287-6106)</t>
        </is>
      </c>
      <c r="W38" s="2" t="b">
        <v>1</v>
      </c>
      <c r="X38" s="3">
        <f>HYPERLINK("https://faculty.engineering.asu.edu/directory/semte/aerospace-and-mechanical-engineering/", "https://faculty.engineering.asu.edu/directory/semte/aerospace-and-mechanical-engineering/")</f>
        <v/>
      </c>
    </row>
    <row r="39">
      <c r="A39" s="2" t="inlineStr">
        <is>
          <t>Lin Li</t>
        </is>
      </c>
      <c r="B39" s="2" t="inlineStr">
        <is>
          <t>Associate Professor</t>
        </is>
      </c>
      <c r="C39" s="3">
        <f>HYPERLINK("mailto:Lin.Li.10@asu.edu", "Lin.Li.10@asu.edu")</f>
        <v/>
      </c>
      <c r="D39" s="2" t="inlineStr">
        <is>
          <t>Arizona State University</t>
        </is>
      </c>
      <c r="E39" s="2" t="inlineStr">
        <is>
          <t>Aerospace &amp; Mechanical Engineering</t>
        </is>
      </c>
      <c r="F39" s="2" t="n">
        <v>1</v>
      </c>
      <c r="G39" s="2" t="inlineStr">
        <is>
          <t>materials</t>
        </is>
      </c>
      <c r="H39" s="2" t="inlineStr"/>
      <c r="I39" s="2" t="inlineStr"/>
      <c r="J39" s="2" t="inlineStr"/>
      <c r="K39" s="2" t="inlineStr"/>
      <c r="L39" s="2" t="inlineStr"/>
      <c r="M39" s="2" t="inlineStr"/>
      <c r="N39" s="2" t="inlineStr"/>
      <c r="O39" s="2" t="inlineStr"/>
      <c r="P39" s="2" t="inlineStr"/>
      <c r="Q39" s="2" t="inlineStr">
        <is>
          <t>Li uses multiscale material mechanics models, computational and data tools to explore advanced materials for extreme environments.</t>
        </is>
      </c>
      <c r="R39" s="2" t="inlineStr">
        <is>
          <t>PhD The Ohio State University</t>
        </is>
      </c>
      <c r="S39" s="3">
        <f>HYPERLINK("https://scholar.google.com/citations?view_op=search_authors&amp;mauthors=Lin%20Li%20Arizona%20State%20University", "Google Scholar Search")</f>
        <v/>
      </c>
      <c r="T39" s="2" t="inlineStr"/>
      <c r="U39" s="3">
        <f>HYPERLINK("https://search.asu.edu/profile/linli25", "https://search.asu.edu/profile/linli25")</f>
        <v/>
      </c>
      <c r="V39" s="2" t="inlineStr">
        <is>
          <t>Campus: Tempe</t>
        </is>
      </c>
      <c r="W39" s="2" t="b">
        <v>1</v>
      </c>
      <c r="X39" s="3">
        <f>HYPERLINK("https://faculty.engineering.asu.edu/directory/semte/aerospace-and-mechanical-engineering/", "https://faculty.engineering.asu.edu/directory/semte/aerospace-and-mechanical-engineering/")</f>
        <v/>
      </c>
    </row>
    <row r="40">
      <c r="A40" s="2" t="inlineStr">
        <is>
          <t>Marc Mignolet</t>
        </is>
      </c>
      <c r="B40" s="2" t="inlineStr">
        <is>
          <t>Professor</t>
        </is>
      </c>
      <c r="C40" s="3">
        <f>HYPERLINK("mailto:marc.mignolet@asu.edu", "marc.mignolet@asu.edu")</f>
        <v/>
      </c>
      <c r="D40" s="2" t="inlineStr">
        <is>
          <t>Arizona State University</t>
        </is>
      </c>
      <c r="E40" s="2" t="inlineStr">
        <is>
          <t>Aerospace &amp; Mechanical Engineering</t>
        </is>
      </c>
      <c r="F40" s="2" t="n">
        <v>1</v>
      </c>
      <c r="G40" s="2" t="inlineStr">
        <is>
          <t>aerospace</t>
        </is>
      </c>
      <c r="H40" s="2" t="inlineStr"/>
      <c r="I40" s="2" t="inlineStr"/>
      <c r="J40" s="2" t="inlineStr"/>
      <c r="K40" s="2" t="inlineStr"/>
      <c r="L40" s="2" t="inlineStr"/>
      <c r="M40" s="2" t="inlineStr"/>
      <c r="N40" s="2" t="inlineStr"/>
      <c r="O40" s="2" t="inlineStr"/>
      <c r="P40" s="2" t="inlineStr"/>
      <c r="Q40" s="2" t="inlineStr">
        <is>
          <t>Mignolet's research interests include structural dynamics, vibrations, modeling of uncertainty in structures and stochastic multiscale analyses.</t>
        </is>
      </c>
      <c r="R40" s="2" t="inlineStr">
        <is>
          <t>Ph.D. Rice University 1987</t>
        </is>
      </c>
      <c r="S40" s="3">
        <f>HYPERLINK("https://scholar.google.com/citations?view_op=search_authors&amp;mauthors=Marc%20Mignolet%20Arizona%20State%20University", "Google Scholar Search")</f>
        <v/>
      </c>
      <c r="T40" s="2" t="inlineStr"/>
      <c r="U40" s="3">
        <f>HYPERLINK("https://search.asu.edu/profile/marc03", "https://search.asu.edu/profile/marc03")</f>
        <v/>
      </c>
      <c r="V40" s="2" t="inlineStr">
        <is>
          <t>ENGRC 411 (TEMPE, AZ 85287-6106)</t>
        </is>
      </c>
      <c r="W40" s="2" t="b">
        <v>1</v>
      </c>
      <c r="X40" s="3">
        <f>HYPERLINK("https://faculty.engineering.asu.edu/directory/semte/aerospace-and-mechanical-engineering/", "https://faculty.engineering.asu.edu/directory/semte/aerospace-and-mechanical-engineering/")</f>
        <v/>
      </c>
    </row>
    <row r="41">
      <c r="A41" s="2" t="inlineStr">
        <is>
          <t>Pedro Peralta</t>
        </is>
      </c>
      <c r="B41" s="2" t="inlineStr">
        <is>
          <t>Professor</t>
        </is>
      </c>
      <c r="C41" s="3">
        <f>HYPERLINK("mailto:pperalta@asu.edu", "pperalta@asu.edu")</f>
        <v/>
      </c>
      <c r="D41" s="2" t="inlineStr">
        <is>
          <t>Arizona State University</t>
        </is>
      </c>
      <c r="E41" s="2" t="inlineStr">
        <is>
          <t>Aerospace &amp; Mechanical Engineering</t>
        </is>
      </c>
      <c r="F41" s="2" t="n">
        <v>1</v>
      </c>
      <c r="G41" s="2" t="inlineStr">
        <is>
          <t>materials</t>
        </is>
      </c>
      <c r="H41" s="2" t="inlineStr"/>
      <c r="I41" s="2" t="inlineStr"/>
      <c r="J41" s="3">
        <f>HYPERLINK("https://faculty.engineering.asu.edu/pperalta/", "https://faculty.engineering.asu.edu/pperalta/")</f>
        <v/>
      </c>
      <c r="K41" s="2" t="inlineStr"/>
      <c r="L41" s="2" t="inlineStr"/>
      <c r="M41" s="2" t="inlineStr"/>
      <c r="N41" s="2" t="inlineStr"/>
      <c r="O41" s="2" t="inlineStr"/>
      <c r="P41" s="2" t="inlineStr"/>
      <c r="Q41" s="2" t="inlineStr">
        <is>
          <t>Peralta's research focuses on mechanics of materials, fatigue and fracture of metallic alloys, dynamic and shock loading of metallic and intermetallic materials.</t>
        </is>
      </c>
      <c r="R41" s="2" t="inlineStr">
        <is>
          <t>Ph.D. Materials Science and Engineering, University of Pennsylvania | M.S. Mechanical Engineering and Applied Mechanics, University of Pennsylvania | Bachelor’s degree. Mechanical Engineering, Universidad Simón Bolívar, Caracas, Venezuela</t>
        </is>
      </c>
      <c r="S41" s="3">
        <f>HYPERLINK("https://scholar.google.com/citations?view_op=search_authors&amp;mauthors=Pedro%20Peralta%20Arizona%20State%20University", "Google Scholar Search")</f>
        <v/>
      </c>
      <c r="T41" s="2" t="inlineStr"/>
      <c r="U41" s="3">
        <f>HYPERLINK("https://search.asu.edu/profile/pperalta", "https://search.asu.edu/profile/pperalta")</f>
        <v/>
      </c>
      <c r="V41" s="2" t="inlineStr"/>
      <c r="W41" s="2" t="b">
        <v>1</v>
      </c>
      <c r="X41" s="3">
        <f>HYPERLINK("https://faculty.engineering.asu.edu/directory/semte/aerospace-and-mechanical-engineering/", "https://faculty.engineering.asu.edu/directory/semte/aerospace-and-mechanical-engineering/")</f>
        <v/>
      </c>
    </row>
    <row r="42">
      <c r="A42" s="2" t="inlineStr">
        <is>
          <t>Wonmo Kang</t>
        </is>
      </c>
      <c r="B42" s="2" t="inlineStr">
        <is>
          <t>Associate Professor</t>
        </is>
      </c>
      <c r="C42" s="3">
        <f>HYPERLINK("mailto:Wonmo.Kang@asu.edu", "Wonmo.Kang@asu.edu")</f>
        <v/>
      </c>
      <c r="D42" s="2" t="inlineStr">
        <is>
          <t>Arizona State University</t>
        </is>
      </c>
      <c r="E42" s="2" t="inlineStr">
        <is>
          <t>Aerospace &amp; Mechanical Engineering</t>
        </is>
      </c>
      <c r="F42" s="2" t="n">
        <v>1</v>
      </c>
      <c r="G42" s="2" t="inlineStr">
        <is>
          <t>materials</t>
        </is>
      </c>
      <c r="H42" s="2" t="inlineStr">
        <is>
          <t>Welcome and we are looking forward to working with Dr</t>
        </is>
      </c>
      <c r="I42" s="2" t="inlineStr"/>
      <c r="J42" s="3">
        <f>HYPERLINK("https://wonmokang3.wixsite.com/website", "https://wonmokang3.wixsite.com/website")</f>
        <v/>
      </c>
      <c r="K42" s="2" t="inlineStr"/>
      <c r="L42" s="2" t="inlineStr">
        <is>
          <t>NSF, ONR</t>
        </is>
      </c>
      <c r="M42" s="2" t="inlineStr"/>
      <c r="N42" s="2" t="inlineStr">
        <is>
          <t>Highlighted as a cover in Small</t>
        </is>
      </c>
      <c r="O42" s="2" t="inlineStr">
        <is>
          <t>Mechanics of Composite Materials, Micro and Nanoscale Bioengineering, Nanotechnology, Thin Film Materials</t>
        </is>
      </c>
      <c r="P42" s="2" t="inlineStr">
        <is>
          <t>Mechanics of Composite Materials, Micro and Nanoscale Bioengineering, Nanotechnology, Thin Film Materials</t>
        </is>
      </c>
      <c r="Q42" s="2" t="inlineStr">
        <is>
          <t>Kang's current research interests include functional materials for energy/manufacturing applications and biomaterials/biomechanics for injury and wound healing mechanisms.</t>
        </is>
      </c>
      <c r="R42" s="2" t="inlineStr">
        <is>
          <t>Ph.D. Mechanical Science and Engineering, University of Illinois at Urbana-Champaign 2012</t>
        </is>
      </c>
      <c r="S42" s="3">
        <f>HYPERLINK("https://scholar.google.com/citations?hl=en&amp;user=bHyyOTAAAAAJ", "Scholar (bHyyOTAAAAAJ)")</f>
        <v/>
      </c>
      <c r="T42" s="2" t="inlineStr">
        <is>
          <t>bHyyOTAAAAAJ</t>
        </is>
      </c>
      <c r="U42" s="3">
        <f>HYPERLINK("https://search.asu.edu/profile/wkang16", "https://search.asu.edu/profile/wkang16")</f>
        <v/>
      </c>
      <c r="V42" s="2" t="inlineStr">
        <is>
          <t>Campus: Tempe</t>
        </is>
      </c>
      <c r="W42" s="2" t="b">
        <v>1</v>
      </c>
      <c r="X42" s="3">
        <f>HYPERLINK("https://faculty.engineering.asu.edu/directory/semte/aerospace-and-mechanical-engineering/", "https://faculty.engineering.asu.edu/directory/semte/aerospace-and-mechanical-engineering/")</f>
        <v/>
      </c>
    </row>
    <row r="43">
      <c r="A43" s="2" t="inlineStr">
        <is>
          <t>Yi Ren</t>
        </is>
      </c>
      <c r="B43" s="2" t="inlineStr">
        <is>
          <t>Associate Professor</t>
        </is>
      </c>
      <c r="C43" s="3">
        <f>HYPERLINK("mailto:yiren@asu.edu", "yiren@asu.edu")</f>
        <v/>
      </c>
      <c r="D43" s="2" t="inlineStr">
        <is>
          <t>Arizona State University</t>
        </is>
      </c>
      <c r="E43" s="2" t="inlineStr">
        <is>
          <t>Aerospace &amp; Mechanical Engineering</t>
        </is>
      </c>
      <c r="F43" s="2" t="n">
        <v>1</v>
      </c>
      <c r="G43" s="2" t="inlineStr">
        <is>
          <t>aerospace</t>
        </is>
      </c>
      <c r="H43" s="2" t="inlineStr"/>
      <c r="I43" s="2" t="inlineStr"/>
      <c r="J43" s="2" t="inlineStr"/>
      <c r="K43" s="2" t="inlineStr"/>
      <c r="L43" s="2" t="inlineStr"/>
      <c r="M43" s="2" t="inlineStr"/>
      <c r="N43" s="2" t="inlineStr"/>
      <c r="O43" s="2" t="inlineStr"/>
      <c r="P43" s="2" t="inlineStr"/>
      <c r="Q43" s="2" t="inlineStr">
        <is>
          <t>Ren’s current research interests include optimization, product/configuration design, human-computer interaction and machine learning.</t>
        </is>
      </c>
      <c r="R43" s="2" t="inlineStr">
        <is>
          <t>Ph.D. Mechanical Engineering, University of Michigan 2011 | M.S. Mechanical Engineering, University of Michigan 2009 | B.S. Automative Engineering, Tsinghua University, China 2007</t>
        </is>
      </c>
      <c r="S43" s="3">
        <f>HYPERLINK("https://scholar.google.com/citations?view_op=search_authors&amp;mauthors=Yi%20Ren%20Arizona%20State%20University", "Google Scholar Search")</f>
        <v/>
      </c>
      <c r="T43" s="2" t="inlineStr"/>
      <c r="U43" s="3">
        <f>HYPERLINK("https://search.asu.edu/profile/yren32", "https://search.asu.edu/profile/yren32")</f>
        <v/>
      </c>
      <c r="V43" s="2" t="inlineStr">
        <is>
          <t>GWC 464 (Tempe, AZ 85287-6106)</t>
        </is>
      </c>
      <c r="W43" s="2" t="b">
        <v>1</v>
      </c>
      <c r="X43" s="3">
        <f>HYPERLINK("https://faculty.engineering.asu.edu/directory/semte/aerospace-and-mechanical-engineering/", "https://faculty.engineering.asu.edu/directory/semte/aerospace-and-mechanical-engineering/")</f>
        <v/>
      </c>
    </row>
    <row r="44">
      <c r="A44" s="2" t="inlineStr">
        <is>
          <t>Derrick Speaks</t>
        </is>
      </c>
      <c r="B44" s="2" t="inlineStr">
        <is>
          <t>Assistant Teaching Professor</t>
        </is>
      </c>
      <c r="C44" s="3">
        <f>HYPERLINK("mailto:Derrick.Speaks@asu.edu", "Derrick.Speaks@asu.edu")</f>
        <v/>
      </c>
      <c r="D44" s="2" t="inlineStr">
        <is>
          <t>Arizona State University</t>
        </is>
      </c>
      <c r="E44" s="2" t="inlineStr">
        <is>
          <t>Aerospace &amp; Mechanical Engineering</t>
        </is>
      </c>
      <c r="F44" s="2" t="n">
        <v>0</v>
      </c>
      <c r="G44" s="2" t="inlineStr"/>
      <c r="H44" s="2" t="inlineStr"/>
      <c r="I44" s="2" t="inlineStr"/>
      <c r="J44" s="2" t="inlineStr"/>
      <c r="K44" s="2" t="inlineStr"/>
      <c r="L44" s="2" t="inlineStr"/>
      <c r="M44" s="2" t="inlineStr"/>
      <c r="N44" s="2" t="inlineStr"/>
      <c r="O44" s="2" t="inlineStr"/>
      <c r="P44" s="2" t="inlineStr"/>
      <c r="Q44" s="2" t="inlineStr"/>
      <c r="R44" s="2" t="inlineStr"/>
      <c r="S44" s="3">
        <f>HYPERLINK("https://scholar.google.com/citations?view_op=search_authors&amp;mauthors=Derrick%20Speaks%20Arizona%20State%20University", "Google Scholar Search")</f>
        <v/>
      </c>
      <c r="T44" s="2" t="inlineStr"/>
      <c r="U44" s="3">
        <f>HYPERLINK("https://search.asu.edu/profile/dspeaks2", "https://search.asu.edu/profile/dspeaks2")</f>
        <v/>
      </c>
      <c r="V44" s="2" t="inlineStr"/>
      <c r="W44" s="2" t="b">
        <v>0</v>
      </c>
      <c r="X44" s="3">
        <f>HYPERLINK("https://faculty.engineering.asu.edu/directory/semte/aerospace-and-mechanical-engineering/", "https://faculty.engineering.asu.edu/directory/semte/aerospace-and-mechanical-engineering/")</f>
        <v/>
      </c>
    </row>
    <row r="45">
      <c r="A45" s="2" t="inlineStr">
        <is>
          <t>Erik Andersen</t>
        </is>
      </c>
      <c r="B45" s="2" t="inlineStr">
        <is>
          <t>Professor</t>
        </is>
      </c>
      <c r="C45" s="3">
        <f>HYPERLINK("mailto:Erik.J.Andersen@asu.edu", "Erik.J.Andersen@asu.edu")</f>
        <v/>
      </c>
      <c r="D45" s="2" t="inlineStr">
        <is>
          <t>Arizona State University</t>
        </is>
      </c>
      <c r="E45" s="2" t="inlineStr">
        <is>
          <t>Aerospace &amp; Mechanical Engineering</t>
        </is>
      </c>
      <c r="F45" s="2" t="n">
        <v>0</v>
      </c>
      <c r="G45" s="2" t="inlineStr"/>
      <c r="H45" s="2" t="inlineStr"/>
      <c r="I45" s="2" t="inlineStr"/>
      <c r="J45" s="2" t="inlineStr"/>
      <c r="K45" s="2" t="inlineStr"/>
      <c r="L45" s="2" t="inlineStr"/>
      <c r="M45" s="2" t="inlineStr"/>
      <c r="N45" s="2" t="inlineStr"/>
      <c r="O45" s="2" t="inlineStr"/>
      <c r="P45" s="2" t="inlineStr"/>
      <c r="Q45" s="2" t="inlineStr"/>
      <c r="R45" s="2" t="inlineStr">
        <is>
          <t>Ph.D. in Mechanical Engineering 2022 - University of Utah B.S./M.S.in Mechanical Engineering 2018 - University of Utah</t>
        </is>
      </c>
      <c r="S45" s="3">
        <f>HYPERLINK("https://scholar.google.com/citations?view_op=search_authors&amp;mauthors=Erik%20Andersen%20Arizona%20State%20University", "Google Scholar Search")</f>
        <v/>
      </c>
      <c r="T45" s="2" t="inlineStr"/>
      <c r="U45" s="3">
        <f>HYPERLINK("https://search.asu.edu/profile/ejande22", "https://search.asu.edu/profile/ejande22")</f>
        <v/>
      </c>
      <c r="V45" s="2" t="inlineStr">
        <is>
          <t>Campus: Otherus</t>
        </is>
      </c>
      <c r="W45" s="2" t="b">
        <v>0</v>
      </c>
      <c r="X45" s="3">
        <f>HYPERLINK("https://faculty.engineering.asu.edu/directory/semte/aerospace-and-mechanical-engineering/", "https://faculty.engineering.asu.edu/directory/semte/aerospace-and-mechanical-engineering/")</f>
        <v/>
      </c>
    </row>
    <row r="46">
      <c r="A46" s="2" t="inlineStr">
        <is>
          <t>Ivy Chang</t>
        </is>
      </c>
      <c r="B46" s="2" t="inlineStr">
        <is>
          <t>Assistant Teaching Professor</t>
        </is>
      </c>
      <c r="C46" s="3">
        <f>HYPERLINK("mailto:Ivy.Chang@asu.edu", "Ivy.Chang@asu.edu")</f>
        <v/>
      </c>
      <c r="D46" s="2" t="inlineStr">
        <is>
          <t>Arizona State University</t>
        </is>
      </c>
      <c r="E46" s="2" t="inlineStr">
        <is>
          <t>Aerospace &amp; Mechanical Engineering</t>
        </is>
      </c>
      <c r="F46" s="2" t="n">
        <v>0</v>
      </c>
      <c r="G46" s="2" t="inlineStr"/>
      <c r="H46" s="2" t="inlineStr"/>
      <c r="I46" s="2" t="inlineStr"/>
      <c r="J46" s="2" t="inlineStr"/>
      <c r="K46" s="2" t="inlineStr"/>
      <c r="L46" s="2" t="inlineStr"/>
      <c r="M46" s="2" t="inlineStr"/>
      <c r="N46" s="2" t="inlineStr"/>
      <c r="O46" s="2" t="inlineStr"/>
      <c r="P46" s="2" t="inlineStr"/>
      <c r="Q46" s="2" t="inlineStr"/>
      <c r="R46" s="2" t="inlineStr"/>
      <c r="S46" s="3">
        <f>HYPERLINK("https://scholar.google.com/citations?view_op=search_authors&amp;mauthors=Ivy%20Chang%20Arizona%20State%20University", "Google Scholar Search")</f>
        <v/>
      </c>
      <c r="T46" s="2" t="inlineStr"/>
      <c r="U46" s="3">
        <f>HYPERLINK("https://search.asu.edu/profile/iychang", "https://search.asu.edu/profile/iychang")</f>
        <v/>
      </c>
      <c r="V46" s="2" t="inlineStr"/>
      <c r="W46" s="2" t="b">
        <v>0</v>
      </c>
      <c r="X46" s="3">
        <f>HYPERLINK("https://faculty.engineering.asu.edu/directory/semte/aerospace-and-mechanical-engineering/", "https://faculty.engineering.asu.edu/directory/semte/aerospace-and-mechanical-engineering/")</f>
        <v/>
      </c>
    </row>
    <row r="47">
      <c r="A47" s="2" t="inlineStr">
        <is>
          <t>Joshua Wilbur</t>
        </is>
      </c>
      <c r="B47" s="2" t="inlineStr">
        <is>
          <t>Associate Teaching Professor</t>
        </is>
      </c>
      <c r="C47" s="3">
        <f>HYPERLINK("mailto:Joshua.Wilbur@asu.edu", "Joshua.Wilbur@asu.edu")</f>
        <v/>
      </c>
      <c r="D47" s="2" t="inlineStr">
        <is>
          <t>Arizona State University</t>
        </is>
      </c>
      <c r="E47" s="2" t="inlineStr">
        <is>
          <t>Aerospace &amp; Mechanical Engineering</t>
        </is>
      </c>
      <c r="F47" s="2" t="n">
        <v>0</v>
      </c>
      <c r="G47" s="2" t="inlineStr"/>
      <c r="H47" s="2" t="inlineStr"/>
      <c r="I47" s="2" t="inlineStr"/>
      <c r="J47" s="2" t="inlineStr"/>
      <c r="K47" s="2" t="inlineStr"/>
      <c r="L47" s="2" t="inlineStr"/>
      <c r="M47" s="2" t="inlineStr"/>
      <c r="N47" s="2" t="inlineStr"/>
      <c r="O47" s="2" t="inlineStr"/>
      <c r="P47" s="2" t="inlineStr"/>
      <c r="Q47" s="2" t="inlineStr"/>
      <c r="R47" s="2" t="inlineStr"/>
      <c r="S47" s="3">
        <f>HYPERLINK("https://scholar.google.com/citations?view_op=search_authors&amp;mauthors=Joshua%20Wilbur%20Arizona%20State%20University", "Google Scholar Search")</f>
        <v/>
      </c>
      <c r="T47" s="2" t="inlineStr"/>
      <c r="U47" s="3">
        <f>HYPERLINK("https://search.asu.edu/profile/jdwilbu1", "https://search.asu.edu/profile/jdwilbu1")</f>
        <v/>
      </c>
      <c r="V47" s="2" t="inlineStr"/>
      <c r="W47" s="2" t="b">
        <v>0</v>
      </c>
      <c r="X47" s="3">
        <f>HYPERLINK("https://faculty.engineering.asu.edu/directory/semte/aerospace-and-mechanical-engineering/", "https://faculty.engineering.asu.edu/directory/semte/aerospace-and-mechanical-engineering/")</f>
        <v/>
      </c>
    </row>
    <row r="48">
      <c r="A48" s="2" t="inlineStr">
        <is>
          <t>Ricardo Cruz Lozano</t>
        </is>
      </c>
      <c r="B48" s="2" t="inlineStr">
        <is>
          <t>Assistant Teaching Professor</t>
        </is>
      </c>
      <c r="C48" s="3">
        <f>HYPERLINK("mailto:Ricardo.Cruz.Lozano@asu.edu", "Ricardo.Cruz.Lozano@asu.edu")</f>
        <v/>
      </c>
      <c r="D48" s="2" t="inlineStr">
        <is>
          <t>Arizona State University</t>
        </is>
      </c>
      <c r="E48" s="2" t="inlineStr">
        <is>
          <t>Aerospace &amp; Mechanical Engineering</t>
        </is>
      </c>
      <c r="F48" s="2" t="n">
        <v>0</v>
      </c>
      <c r="G48" s="2" t="inlineStr"/>
      <c r="H48" s="2" t="inlineStr"/>
      <c r="I48" s="2" t="inlineStr"/>
      <c r="J48" s="2" t="inlineStr"/>
      <c r="K48" s="2" t="inlineStr"/>
      <c r="L48" s="2" t="inlineStr"/>
      <c r="M48" s="2" t="inlineStr"/>
      <c r="N48" s="2" t="inlineStr"/>
      <c r="O48" s="2" t="inlineStr"/>
      <c r="P48" s="2" t="inlineStr"/>
      <c r="Q48" s="2" t="inlineStr"/>
      <c r="R48" s="2" t="inlineStr"/>
      <c r="S48" s="3">
        <f>HYPERLINK("https://scholar.google.com/citations?view_op=search_authors&amp;mauthors=Ricardo%20Cruz%20Lozano%20Arizona%20State%20University", "Google Scholar Search")</f>
        <v/>
      </c>
      <c r="T48" s="2" t="inlineStr"/>
      <c r="U48" s="3">
        <f>HYPERLINK("https://search.asu.edu/profile/rcruzloz", "https://search.asu.edu/profile/rcruzloz")</f>
        <v/>
      </c>
      <c r="V48" s="2" t="inlineStr"/>
      <c r="W48" s="2" t="b">
        <v>0</v>
      </c>
      <c r="X48" s="3">
        <f>HYPERLINK("https://faculty.engineering.asu.edu/directory/semte/aerospace-and-mechanical-engineering/", "https://faculty.engineering.asu.edu/directory/semte/aerospace-and-mechanical-engineering/")</f>
        <v/>
      </c>
    </row>
    <row r="49">
      <c r="A49" s="2" t="inlineStr">
        <is>
          <t>Srinivas Chakravarthi Kosaraju</t>
        </is>
      </c>
      <c r="B49" s="2" t="inlineStr">
        <is>
          <t>Teaching Professor</t>
        </is>
      </c>
      <c r="C49" s="3">
        <f>HYPERLINK("mailto:Srinivas.Kosaraju@asu.edu", "Srinivas.Kosaraju@asu.edu")</f>
        <v/>
      </c>
      <c r="D49" s="2" t="inlineStr">
        <is>
          <t>Arizona State University</t>
        </is>
      </c>
      <c r="E49" s="2" t="inlineStr">
        <is>
          <t>Aerospace &amp; Mechanical Engineering</t>
        </is>
      </c>
      <c r="F49" s="2" t="n">
        <v>0</v>
      </c>
      <c r="G49" s="2" t="inlineStr"/>
      <c r="H49" s="2" t="inlineStr"/>
      <c r="I49" s="2" t="inlineStr"/>
      <c r="J49" s="2" t="inlineStr"/>
      <c r="K49" s="2" t="inlineStr"/>
      <c r="L49" s="2" t="inlineStr"/>
      <c r="M49" s="2" t="inlineStr"/>
      <c r="N49" s="2" t="inlineStr"/>
      <c r="O49" s="2" t="inlineStr"/>
      <c r="P49" s="2" t="inlineStr"/>
      <c r="Q49" s="2" t="inlineStr"/>
      <c r="R49" s="2" t="inlineStr"/>
      <c r="S49" s="3">
        <f>HYPERLINK("https://scholar.google.com/citations?view_op=search_authors&amp;mauthors=Srinivas%20Chakravarthi%20Kosaraju%20Arizona%20State%20University", "Google Scholar Search")</f>
        <v/>
      </c>
      <c r="T49" s="2" t="inlineStr"/>
      <c r="U49" s="3">
        <f>HYPERLINK("https://search.asu.edu/profile/skosara2", "https://search.asu.edu/profile/skosara2")</f>
        <v/>
      </c>
      <c r="V49" s="2" t="inlineStr">
        <is>
          <t>Campus: Tempe</t>
        </is>
      </c>
      <c r="W49" s="2" t="b">
        <v>0</v>
      </c>
      <c r="X49" s="3">
        <f>HYPERLINK("https://faculty.engineering.asu.edu/directory/semte/aerospace-and-mechanical-engineering/", "https://faculty.engineering.asu.edu/directory/semte/aerospace-and-mechanical-engineering/")</f>
        <v/>
      </c>
    </row>
  </sheetData>
  <hyperlinks>
    <hyperlink xmlns:r="http://schemas.openxmlformats.org/officeDocument/2006/relationships" ref="C2" r:id="rId1"/>
    <hyperlink xmlns:r="http://schemas.openxmlformats.org/officeDocument/2006/relationships" ref="J2" r:id="rId2"/>
    <hyperlink xmlns:r="http://schemas.openxmlformats.org/officeDocument/2006/relationships" ref="S2" r:id="rId3"/>
    <hyperlink xmlns:r="http://schemas.openxmlformats.org/officeDocument/2006/relationships" ref="U2" r:id="rId4"/>
    <hyperlink xmlns:r="http://schemas.openxmlformats.org/officeDocument/2006/relationships" ref="X2" r:id="rId5"/>
    <hyperlink xmlns:r="http://schemas.openxmlformats.org/officeDocument/2006/relationships" ref="C3" r:id="rId6"/>
    <hyperlink xmlns:r="http://schemas.openxmlformats.org/officeDocument/2006/relationships" ref="J3" r:id="rId7"/>
    <hyperlink xmlns:r="http://schemas.openxmlformats.org/officeDocument/2006/relationships" ref="S3" r:id="rId8"/>
    <hyperlink xmlns:r="http://schemas.openxmlformats.org/officeDocument/2006/relationships" ref="U3" r:id="rId9"/>
    <hyperlink xmlns:r="http://schemas.openxmlformats.org/officeDocument/2006/relationships" ref="X3" r:id="rId10"/>
    <hyperlink xmlns:r="http://schemas.openxmlformats.org/officeDocument/2006/relationships" ref="C4" r:id="rId11"/>
    <hyperlink xmlns:r="http://schemas.openxmlformats.org/officeDocument/2006/relationships" ref="J4" r:id="rId12"/>
    <hyperlink xmlns:r="http://schemas.openxmlformats.org/officeDocument/2006/relationships" ref="S4" r:id="rId13"/>
    <hyperlink xmlns:r="http://schemas.openxmlformats.org/officeDocument/2006/relationships" ref="U4" r:id="rId14"/>
    <hyperlink xmlns:r="http://schemas.openxmlformats.org/officeDocument/2006/relationships" ref="X4" r:id="rId15"/>
    <hyperlink xmlns:r="http://schemas.openxmlformats.org/officeDocument/2006/relationships" ref="C5" r:id="rId16"/>
    <hyperlink xmlns:r="http://schemas.openxmlformats.org/officeDocument/2006/relationships" ref="J5" r:id="rId17"/>
    <hyperlink xmlns:r="http://schemas.openxmlformats.org/officeDocument/2006/relationships" ref="S5" r:id="rId18"/>
    <hyperlink xmlns:r="http://schemas.openxmlformats.org/officeDocument/2006/relationships" ref="U5" r:id="rId19"/>
    <hyperlink xmlns:r="http://schemas.openxmlformats.org/officeDocument/2006/relationships" ref="X5" r:id="rId20"/>
    <hyperlink xmlns:r="http://schemas.openxmlformats.org/officeDocument/2006/relationships" ref="C6" r:id="rId21"/>
    <hyperlink xmlns:r="http://schemas.openxmlformats.org/officeDocument/2006/relationships" ref="S6" r:id="rId22"/>
    <hyperlink xmlns:r="http://schemas.openxmlformats.org/officeDocument/2006/relationships" ref="U6" r:id="rId23"/>
    <hyperlink xmlns:r="http://schemas.openxmlformats.org/officeDocument/2006/relationships" ref="X6" r:id="rId24"/>
    <hyperlink xmlns:r="http://schemas.openxmlformats.org/officeDocument/2006/relationships" ref="C7" r:id="rId25"/>
    <hyperlink xmlns:r="http://schemas.openxmlformats.org/officeDocument/2006/relationships" ref="S7" r:id="rId26"/>
    <hyperlink xmlns:r="http://schemas.openxmlformats.org/officeDocument/2006/relationships" ref="U7" r:id="rId27"/>
    <hyperlink xmlns:r="http://schemas.openxmlformats.org/officeDocument/2006/relationships" ref="X7" r:id="rId28"/>
    <hyperlink xmlns:r="http://schemas.openxmlformats.org/officeDocument/2006/relationships" ref="C8" r:id="rId29"/>
    <hyperlink xmlns:r="http://schemas.openxmlformats.org/officeDocument/2006/relationships" ref="J8" r:id="rId30"/>
    <hyperlink xmlns:r="http://schemas.openxmlformats.org/officeDocument/2006/relationships" ref="S8" r:id="rId31"/>
    <hyperlink xmlns:r="http://schemas.openxmlformats.org/officeDocument/2006/relationships" ref="U8" r:id="rId32"/>
    <hyperlink xmlns:r="http://schemas.openxmlformats.org/officeDocument/2006/relationships" ref="X8" r:id="rId33"/>
    <hyperlink xmlns:r="http://schemas.openxmlformats.org/officeDocument/2006/relationships" ref="C9" r:id="rId34"/>
    <hyperlink xmlns:r="http://schemas.openxmlformats.org/officeDocument/2006/relationships" ref="J9" r:id="rId35"/>
    <hyperlink xmlns:r="http://schemas.openxmlformats.org/officeDocument/2006/relationships" ref="S9" r:id="rId36"/>
    <hyperlink xmlns:r="http://schemas.openxmlformats.org/officeDocument/2006/relationships" ref="U9" r:id="rId37"/>
    <hyperlink xmlns:r="http://schemas.openxmlformats.org/officeDocument/2006/relationships" ref="X9" r:id="rId38"/>
    <hyperlink xmlns:r="http://schemas.openxmlformats.org/officeDocument/2006/relationships" ref="C10" r:id="rId39"/>
    <hyperlink xmlns:r="http://schemas.openxmlformats.org/officeDocument/2006/relationships" ref="J10" r:id="rId40"/>
    <hyperlink xmlns:r="http://schemas.openxmlformats.org/officeDocument/2006/relationships" ref="S10" r:id="rId41"/>
    <hyperlink xmlns:r="http://schemas.openxmlformats.org/officeDocument/2006/relationships" ref="U10" r:id="rId42"/>
    <hyperlink xmlns:r="http://schemas.openxmlformats.org/officeDocument/2006/relationships" ref="X10" r:id="rId43"/>
    <hyperlink xmlns:r="http://schemas.openxmlformats.org/officeDocument/2006/relationships" ref="C11" r:id="rId44"/>
    <hyperlink xmlns:r="http://schemas.openxmlformats.org/officeDocument/2006/relationships" ref="S11" r:id="rId45"/>
    <hyperlink xmlns:r="http://schemas.openxmlformats.org/officeDocument/2006/relationships" ref="U11" r:id="rId46"/>
    <hyperlink xmlns:r="http://schemas.openxmlformats.org/officeDocument/2006/relationships" ref="X11" r:id="rId47"/>
    <hyperlink xmlns:r="http://schemas.openxmlformats.org/officeDocument/2006/relationships" ref="C12" r:id="rId48"/>
    <hyperlink xmlns:r="http://schemas.openxmlformats.org/officeDocument/2006/relationships" ref="J12" r:id="rId49"/>
    <hyperlink xmlns:r="http://schemas.openxmlformats.org/officeDocument/2006/relationships" ref="S12" r:id="rId50"/>
    <hyperlink xmlns:r="http://schemas.openxmlformats.org/officeDocument/2006/relationships" ref="U12" r:id="rId51"/>
    <hyperlink xmlns:r="http://schemas.openxmlformats.org/officeDocument/2006/relationships" ref="X12" r:id="rId52"/>
    <hyperlink xmlns:r="http://schemas.openxmlformats.org/officeDocument/2006/relationships" ref="C13" r:id="rId53"/>
    <hyperlink xmlns:r="http://schemas.openxmlformats.org/officeDocument/2006/relationships" ref="J13" r:id="rId54"/>
    <hyperlink xmlns:r="http://schemas.openxmlformats.org/officeDocument/2006/relationships" ref="S13" r:id="rId55"/>
    <hyperlink xmlns:r="http://schemas.openxmlformats.org/officeDocument/2006/relationships" ref="U13" r:id="rId56"/>
    <hyperlink xmlns:r="http://schemas.openxmlformats.org/officeDocument/2006/relationships" ref="X13" r:id="rId57"/>
    <hyperlink xmlns:r="http://schemas.openxmlformats.org/officeDocument/2006/relationships" ref="C14" r:id="rId58"/>
    <hyperlink xmlns:r="http://schemas.openxmlformats.org/officeDocument/2006/relationships" ref="S14" r:id="rId59"/>
    <hyperlink xmlns:r="http://schemas.openxmlformats.org/officeDocument/2006/relationships" ref="U14" r:id="rId60"/>
    <hyperlink xmlns:r="http://schemas.openxmlformats.org/officeDocument/2006/relationships" ref="X14" r:id="rId61"/>
    <hyperlink xmlns:r="http://schemas.openxmlformats.org/officeDocument/2006/relationships" ref="C15" r:id="rId62"/>
    <hyperlink xmlns:r="http://schemas.openxmlformats.org/officeDocument/2006/relationships" ref="J15" r:id="rId63"/>
    <hyperlink xmlns:r="http://schemas.openxmlformats.org/officeDocument/2006/relationships" ref="S15" r:id="rId64"/>
    <hyperlink xmlns:r="http://schemas.openxmlformats.org/officeDocument/2006/relationships" ref="U15" r:id="rId65"/>
    <hyperlink xmlns:r="http://schemas.openxmlformats.org/officeDocument/2006/relationships" ref="X15" r:id="rId66"/>
    <hyperlink xmlns:r="http://schemas.openxmlformats.org/officeDocument/2006/relationships" ref="C16" r:id="rId67"/>
    <hyperlink xmlns:r="http://schemas.openxmlformats.org/officeDocument/2006/relationships" ref="J16" r:id="rId68"/>
    <hyperlink xmlns:r="http://schemas.openxmlformats.org/officeDocument/2006/relationships" ref="S16" r:id="rId69"/>
    <hyperlink xmlns:r="http://schemas.openxmlformats.org/officeDocument/2006/relationships" ref="U16" r:id="rId70"/>
    <hyperlink xmlns:r="http://schemas.openxmlformats.org/officeDocument/2006/relationships" ref="X16" r:id="rId71"/>
    <hyperlink xmlns:r="http://schemas.openxmlformats.org/officeDocument/2006/relationships" ref="C17" r:id="rId72"/>
    <hyperlink xmlns:r="http://schemas.openxmlformats.org/officeDocument/2006/relationships" ref="J17" r:id="rId73"/>
    <hyperlink xmlns:r="http://schemas.openxmlformats.org/officeDocument/2006/relationships" ref="S17" r:id="rId74"/>
    <hyperlink xmlns:r="http://schemas.openxmlformats.org/officeDocument/2006/relationships" ref="U17" r:id="rId75"/>
    <hyperlink xmlns:r="http://schemas.openxmlformats.org/officeDocument/2006/relationships" ref="X17" r:id="rId76"/>
    <hyperlink xmlns:r="http://schemas.openxmlformats.org/officeDocument/2006/relationships" ref="C18" r:id="rId77"/>
    <hyperlink xmlns:r="http://schemas.openxmlformats.org/officeDocument/2006/relationships" ref="S18" r:id="rId78"/>
    <hyperlink xmlns:r="http://schemas.openxmlformats.org/officeDocument/2006/relationships" ref="U18" r:id="rId79"/>
    <hyperlink xmlns:r="http://schemas.openxmlformats.org/officeDocument/2006/relationships" ref="X18" r:id="rId80"/>
    <hyperlink xmlns:r="http://schemas.openxmlformats.org/officeDocument/2006/relationships" ref="C19" r:id="rId81"/>
    <hyperlink xmlns:r="http://schemas.openxmlformats.org/officeDocument/2006/relationships" ref="S19" r:id="rId82"/>
    <hyperlink xmlns:r="http://schemas.openxmlformats.org/officeDocument/2006/relationships" ref="U19" r:id="rId83"/>
    <hyperlink xmlns:r="http://schemas.openxmlformats.org/officeDocument/2006/relationships" ref="X19" r:id="rId84"/>
    <hyperlink xmlns:r="http://schemas.openxmlformats.org/officeDocument/2006/relationships" ref="C20" r:id="rId85"/>
    <hyperlink xmlns:r="http://schemas.openxmlformats.org/officeDocument/2006/relationships" ref="S20" r:id="rId86"/>
    <hyperlink xmlns:r="http://schemas.openxmlformats.org/officeDocument/2006/relationships" ref="U20" r:id="rId87"/>
    <hyperlink xmlns:r="http://schemas.openxmlformats.org/officeDocument/2006/relationships" ref="X20" r:id="rId88"/>
    <hyperlink xmlns:r="http://schemas.openxmlformats.org/officeDocument/2006/relationships" ref="C21" r:id="rId89"/>
    <hyperlink xmlns:r="http://schemas.openxmlformats.org/officeDocument/2006/relationships" ref="S21" r:id="rId90"/>
    <hyperlink xmlns:r="http://schemas.openxmlformats.org/officeDocument/2006/relationships" ref="U21" r:id="rId91"/>
    <hyperlink xmlns:r="http://schemas.openxmlformats.org/officeDocument/2006/relationships" ref="X21" r:id="rId92"/>
    <hyperlink xmlns:r="http://schemas.openxmlformats.org/officeDocument/2006/relationships" ref="C22" r:id="rId93"/>
    <hyperlink xmlns:r="http://schemas.openxmlformats.org/officeDocument/2006/relationships" ref="J22" r:id="rId94"/>
    <hyperlink xmlns:r="http://schemas.openxmlformats.org/officeDocument/2006/relationships" ref="S22" r:id="rId95"/>
    <hyperlink xmlns:r="http://schemas.openxmlformats.org/officeDocument/2006/relationships" ref="U22" r:id="rId96"/>
    <hyperlink xmlns:r="http://schemas.openxmlformats.org/officeDocument/2006/relationships" ref="X22" r:id="rId97"/>
    <hyperlink xmlns:r="http://schemas.openxmlformats.org/officeDocument/2006/relationships" ref="C23" r:id="rId98"/>
    <hyperlink xmlns:r="http://schemas.openxmlformats.org/officeDocument/2006/relationships" ref="J23" r:id="rId99"/>
    <hyperlink xmlns:r="http://schemas.openxmlformats.org/officeDocument/2006/relationships" ref="S23" r:id="rId100"/>
    <hyperlink xmlns:r="http://schemas.openxmlformats.org/officeDocument/2006/relationships" ref="U23" r:id="rId101"/>
    <hyperlink xmlns:r="http://schemas.openxmlformats.org/officeDocument/2006/relationships" ref="X23" r:id="rId102"/>
    <hyperlink xmlns:r="http://schemas.openxmlformats.org/officeDocument/2006/relationships" ref="C24" r:id="rId103"/>
    <hyperlink xmlns:r="http://schemas.openxmlformats.org/officeDocument/2006/relationships" ref="J24" r:id="rId104"/>
    <hyperlink xmlns:r="http://schemas.openxmlformats.org/officeDocument/2006/relationships" ref="S24" r:id="rId105"/>
    <hyperlink xmlns:r="http://schemas.openxmlformats.org/officeDocument/2006/relationships" ref="U24" r:id="rId106"/>
    <hyperlink xmlns:r="http://schemas.openxmlformats.org/officeDocument/2006/relationships" ref="X24" r:id="rId107"/>
    <hyperlink xmlns:r="http://schemas.openxmlformats.org/officeDocument/2006/relationships" ref="C25" r:id="rId108"/>
    <hyperlink xmlns:r="http://schemas.openxmlformats.org/officeDocument/2006/relationships" ref="J25" r:id="rId109"/>
    <hyperlink xmlns:r="http://schemas.openxmlformats.org/officeDocument/2006/relationships" ref="S25" r:id="rId110"/>
    <hyperlink xmlns:r="http://schemas.openxmlformats.org/officeDocument/2006/relationships" ref="U25" r:id="rId111"/>
    <hyperlink xmlns:r="http://schemas.openxmlformats.org/officeDocument/2006/relationships" ref="X25" r:id="rId112"/>
    <hyperlink xmlns:r="http://schemas.openxmlformats.org/officeDocument/2006/relationships" ref="C26" r:id="rId113"/>
    <hyperlink xmlns:r="http://schemas.openxmlformats.org/officeDocument/2006/relationships" ref="S26" r:id="rId114"/>
    <hyperlink xmlns:r="http://schemas.openxmlformats.org/officeDocument/2006/relationships" ref="U26" r:id="rId115"/>
    <hyperlink xmlns:r="http://schemas.openxmlformats.org/officeDocument/2006/relationships" ref="X26" r:id="rId116"/>
    <hyperlink xmlns:r="http://schemas.openxmlformats.org/officeDocument/2006/relationships" ref="C27" r:id="rId117"/>
    <hyperlink xmlns:r="http://schemas.openxmlformats.org/officeDocument/2006/relationships" ref="J27" r:id="rId118"/>
    <hyperlink xmlns:r="http://schemas.openxmlformats.org/officeDocument/2006/relationships" ref="S27" r:id="rId119"/>
    <hyperlink xmlns:r="http://schemas.openxmlformats.org/officeDocument/2006/relationships" ref="U27" r:id="rId120"/>
    <hyperlink xmlns:r="http://schemas.openxmlformats.org/officeDocument/2006/relationships" ref="X27" r:id="rId121"/>
    <hyperlink xmlns:r="http://schemas.openxmlformats.org/officeDocument/2006/relationships" ref="C28" r:id="rId122"/>
    <hyperlink xmlns:r="http://schemas.openxmlformats.org/officeDocument/2006/relationships" ref="S28" r:id="rId123"/>
    <hyperlink xmlns:r="http://schemas.openxmlformats.org/officeDocument/2006/relationships" ref="U28" r:id="rId124"/>
    <hyperlink xmlns:r="http://schemas.openxmlformats.org/officeDocument/2006/relationships" ref="X28" r:id="rId125"/>
    <hyperlink xmlns:r="http://schemas.openxmlformats.org/officeDocument/2006/relationships" ref="C29" r:id="rId126"/>
    <hyperlink xmlns:r="http://schemas.openxmlformats.org/officeDocument/2006/relationships" ref="J29" r:id="rId127"/>
    <hyperlink xmlns:r="http://schemas.openxmlformats.org/officeDocument/2006/relationships" ref="S29" r:id="rId128"/>
    <hyperlink xmlns:r="http://schemas.openxmlformats.org/officeDocument/2006/relationships" ref="U29" r:id="rId129"/>
    <hyperlink xmlns:r="http://schemas.openxmlformats.org/officeDocument/2006/relationships" ref="X29" r:id="rId130"/>
    <hyperlink xmlns:r="http://schemas.openxmlformats.org/officeDocument/2006/relationships" ref="C30" r:id="rId131"/>
    <hyperlink xmlns:r="http://schemas.openxmlformats.org/officeDocument/2006/relationships" ref="J30" r:id="rId132"/>
    <hyperlink xmlns:r="http://schemas.openxmlformats.org/officeDocument/2006/relationships" ref="S30" r:id="rId133"/>
    <hyperlink xmlns:r="http://schemas.openxmlformats.org/officeDocument/2006/relationships" ref="U30" r:id="rId134"/>
    <hyperlink xmlns:r="http://schemas.openxmlformats.org/officeDocument/2006/relationships" ref="X30" r:id="rId135"/>
    <hyperlink xmlns:r="http://schemas.openxmlformats.org/officeDocument/2006/relationships" ref="C31" r:id="rId136"/>
    <hyperlink xmlns:r="http://schemas.openxmlformats.org/officeDocument/2006/relationships" ref="J31" r:id="rId137"/>
    <hyperlink xmlns:r="http://schemas.openxmlformats.org/officeDocument/2006/relationships" ref="S31" r:id="rId138"/>
    <hyperlink xmlns:r="http://schemas.openxmlformats.org/officeDocument/2006/relationships" ref="U31" r:id="rId139"/>
    <hyperlink xmlns:r="http://schemas.openxmlformats.org/officeDocument/2006/relationships" ref="X31" r:id="rId140"/>
    <hyperlink xmlns:r="http://schemas.openxmlformats.org/officeDocument/2006/relationships" ref="C32" r:id="rId141"/>
    <hyperlink xmlns:r="http://schemas.openxmlformats.org/officeDocument/2006/relationships" ref="S32" r:id="rId142"/>
    <hyperlink xmlns:r="http://schemas.openxmlformats.org/officeDocument/2006/relationships" ref="U32" r:id="rId143"/>
    <hyperlink xmlns:r="http://schemas.openxmlformats.org/officeDocument/2006/relationships" ref="X32" r:id="rId144"/>
    <hyperlink xmlns:r="http://schemas.openxmlformats.org/officeDocument/2006/relationships" ref="C33" r:id="rId145"/>
    <hyperlink xmlns:r="http://schemas.openxmlformats.org/officeDocument/2006/relationships" ref="J33" r:id="rId146"/>
    <hyperlink xmlns:r="http://schemas.openxmlformats.org/officeDocument/2006/relationships" ref="S33" r:id="rId147"/>
    <hyperlink xmlns:r="http://schemas.openxmlformats.org/officeDocument/2006/relationships" ref="U33" r:id="rId148"/>
    <hyperlink xmlns:r="http://schemas.openxmlformats.org/officeDocument/2006/relationships" ref="X33" r:id="rId149"/>
    <hyperlink xmlns:r="http://schemas.openxmlformats.org/officeDocument/2006/relationships" ref="C34" r:id="rId150"/>
    <hyperlink xmlns:r="http://schemas.openxmlformats.org/officeDocument/2006/relationships" ref="J34" r:id="rId151"/>
    <hyperlink xmlns:r="http://schemas.openxmlformats.org/officeDocument/2006/relationships" ref="S34" r:id="rId152"/>
    <hyperlink xmlns:r="http://schemas.openxmlformats.org/officeDocument/2006/relationships" ref="U34" r:id="rId153"/>
    <hyperlink xmlns:r="http://schemas.openxmlformats.org/officeDocument/2006/relationships" ref="X34" r:id="rId154"/>
    <hyperlink xmlns:r="http://schemas.openxmlformats.org/officeDocument/2006/relationships" ref="C35" r:id="rId155"/>
    <hyperlink xmlns:r="http://schemas.openxmlformats.org/officeDocument/2006/relationships" ref="J35" r:id="rId156"/>
    <hyperlink xmlns:r="http://schemas.openxmlformats.org/officeDocument/2006/relationships" ref="S35" r:id="rId157"/>
    <hyperlink xmlns:r="http://schemas.openxmlformats.org/officeDocument/2006/relationships" ref="U35" r:id="rId158"/>
    <hyperlink xmlns:r="http://schemas.openxmlformats.org/officeDocument/2006/relationships" ref="X35" r:id="rId159"/>
    <hyperlink xmlns:r="http://schemas.openxmlformats.org/officeDocument/2006/relationships" ref="C36" r:id="rId160"/>
    <hyperlink xmlns:r="http://schemas.openxmlformats.org/officeDocument/2006/relationships" ref="S36" r:id="rId161"/>
    <hyperlink xmlns:r="http://schemas.openxmlformats.org/officeDocument/2006/relationships" ref="U36" r:id="rId162"/>
    <hyperlink xmlns:r="http://schemas.openxmlformats.org/officeDocument/2006/relationships" ref="X36" r:id="rId163"/>
    <hyperlink xmlns:r="http://schemas.openxmlformats.org/officeDocument/2006/relationships" ref="C37" r:id="rId164"/>
    <hyperlink xmlns:r="http://schemas.openxmlformats.org/officeDocument/2006/relationships" ref="J37" r:id="rId165"/>
    <hyperlink xmlns:r="http://schemas.openxmlformats.org/officeDocument/2006/relationships" ref="S37" r:id="rId166"/>
    <hyperlink xmlns:r="http://schemas.openxmlformats.org/officeDocument/2006/relationships" ref="U37" r:id="rId167"/>
    <hyperlink xmlns:r="http://schemas.openxmlformats.org/officeDocument/2006/relationships" ref="X37" r:id="rId168"/>
    <hyperlink xmlns:r="http://schemas.openxmlformats.org/officeDocument/2006/relationships" ref="C38" r:id="rId169"/>
    <hyperlink xmlns:r="http://schemas.openxmlformats.org/officeDocument/2006/relationships" ref="S38" r:id="rId170"/>
    <hyperlink xmlns:r="http://schemas.openxmlformats.org/officeDocument/2006/relationships" ref="U38" r:id="rId171"/>
    <hyperlink xmlns:r="http://schemas.openxmlformats.org/officeDocument/2006/relationships" ref="X38" r:id="rId172"/>
    <hyperlink xmlns:r="http://schemas.openxmlformats.org/officeDocument/2006/relationships" ref="C39" r:id="rId173"/>
    <hyperlink xmlns:r="http://schemas.openxmlformats.org/officeDocument/2006/relationships" ref="S39" r:id="rId174"/>
    <hyperlink xmlns:r="http://schemas.openxmlformats.org/officeDocument/2006/relationships" ref="U39" r:id="rId175"/>
    <hyperlink xmlns:r="http://schemas.openxmlformats.org/officeDocument/2006/relationships" ref="X39" r:id="rId176"/>
    <hyperlink xmlns:r="http://schemas.openxmlformats.org/officeDocument/2006/relationships" ref="C40" r:id="rId177"/>
    <hyperlink xmlns:r="http://schemas.openxmlformats.org/officeDocument/2006/relationships" ref="S40" r:id="rId178"/>
    <hyperlink xmlns:r="http://schemas.openxmlformats.org/officeDocument/2006/relationships" ref="U40" r:id="rId179"/>
    <hyperlink xmlns:r="http://schemas.openxmlformats.org/officeDocument/2006/relationships" ref="X40" r:id="rId180"/>
    <hyperlink xmlns:r="http://schemas.openxmlformats.org/officeDocument/2006/relationships" ref="C41" r:id="rId181"/>
    <hyperlink xmlns:r="http://schemas.openxmlformats.org/officeDocument/2006/relationships" ref="J41" r:id="rId182"/>
    <hyperlink xmlns:r="http://schemas.openxmlformats.org/officeDocument/2006/relationships" ref="S41" r:id="rId183"/>
    <hyperlink xmlns:r="http://schemas.openxmlformats.org/officeDocument/2006/relationships" ref="U41" r:id="rId184"/>
    <hyperlink xmlns:r="http://schemas.openxmlformats.org/officeDocument/2006/relationships" ref="X41" r:id="rId185"/>
    <hyperlink xmlns:r="http://schemas.openxmlformats.org/officeDocument/2006/relationships" ref="C42" r:id="rId186"/>
    <hyperlink xmlns:r="http://schemas.openxmlformats.org/officeDocument/2006/relationships" ref="J42" r:id="rId187"/>
    <hyperlink xmlns:r="http://schemas.openxmlformats.org/officeDocument/2006/relationships" ref="S42" r:id="rId188"/>
    <hyperlink xmlns:r="http://schemas.openxmlformats.org/officeDocument/2006/relationships" ref="U42" r:id="rId189"/>
    <hyperlink xmlns:r="http://schemas.openxmlformats.org/officeDocument/2006/relationships" ref="X42" r:id="rId190"/>
    <hyperlink xmlns:r="http://schemas.openxmlformats.org/officeDocument/2006/relationships" ref="C43" r:id="rId191"/>
    <hyperlink xmlns:r="http://schemas.openxmlformats.org/officeDocument/2006/relationships" ref="S43" r:id="rId192"/>
    <hyperlink xmlns:r="http://schemas.openxmlformats.org/officeDocument/2006/relationships" ref="U43" r:id="rId193"/>
    <hyperlink xmlns:r="http://schemas.openxmlformats.org/officeDocument/2006/relationships" ref="X43" r:id="rId194"/>
    <hyperlink xmlns:r="http://schemas.openxmlformats.org/officeDocument/2006/relationships" ref="C44" r:id="rId195"/>
    <hyperlink xmlns:r="http://schemas.openxmlformats.org/officeDocument/2006/relationships" ref="S44" r:id="rId196"/>
    <hyperlink xmlns:r="http://schemas.openxmlformats.org/officeDocument/2006/relationships" ref="U44" r:id="rId197"/>
    <hyperlink xmlns:r="http://schemas.openxmlformats.org/officeDocument/2006/relationships" ref="X44" r:id="rId198"/>
    <hyperlink xmlns:r="http://schemas.openxmlformats.org/officeDocument/2006/relationships" ref="C45" r:id="rId199"/>
    <hyperlink xmlns:r="http://schemas.openxmlformats.org/officeDocument/2006/relationships" ref="S45" r:id="rId200"/>
    <hyperlink xmlns:r="http://schemas.openxmlformats.org/officeDocument/2006/relationships" ref="U45" r:id="rId201"/>
    <hyperlink xmlns:r="http://schemas.openxmlformats.org/officeDocument/2006/relationships" ref="X45" r:id="rId202"/>
    <hyperlink xmlns:r="http://schemas.openxmlformats.org/officeDocument/2006/relationships" ref="C46" r:id="rId203"/>
    <hyperlink xmlns:r="http://schemas.openxmlformats.org/officeDocument/2006/relationships" ref="S46" r:id="rId204"/>
    <hyperlink xmlns:r="http://schemas.openxmlformats.org/officeDocument/2006/relationships" ref="U46" r:id="rId205"/>
    <hyperlink xmlns:r="http://schemas.openxmlformats.org/officeDocument/2006/relationships" ref="X46" r:id="rId206"/>
    <hyperlink xmlns:r="http://schemas.openxmlformats.org/officeDocument/2006/relationships" ref="C47" r:id="rId207"/>
    <hyperlink xmlns:r="http://schemas.openxmlformats.org/officeDocument/2006/relationships" ref="S47" r:id="rId208"/>
    <hyperlink xmlns:r="http://schemas.openxmlformats.org/officeDocument/2006/relationships" ref="U47" r:id="rId209"/>
    <hyperlink xmlns:r="http://schemas.openxmlformats.org/officeDocument/2006/relationships" ref="X47" r:id="rId210"/>
    <hyperlink xmlns:r="http://schemas.openxmlformats.org/officeDocument/2006/relationships" ref="C48" r:id="rId211"/>
    <hyperlink xmlns:r="http://schemas.openxmlformats.org/officeDocument/2006/relationships" ref="S48" r:id="rId212"/>
    <hyperlink xmlns:r="http://schemas.openxmlformats.org/officeDocument/2006/relationships" ref="U48" r:id="rId213"/>
    <hyperlink xmlns:r="http://schemas.openxmlformats.org/officeDocument/2006/relationships" ref="X48" r:id="rId214"/>
    <hyperlink xmlns:r="http://schemas.openxmlformats.org/officeDocument/2006/relationships" ref="C49" r:id="rId215"/>
    <hyperlink xmlns:r="http://schemas.openxmlformats.org/officeDocument/2006/relationships" ref="S49" r:id="rId216"/>
    <hyperlink xmlns:r="http://schemas.openxmlformats.org/officeDocument/2006/relationships" ref="U49" r:id="rId217"/>
    <hyperlink xmlns:r="http://schemas.openxmlformats.org/officeDocument/2006/relationships" ref="X49" r:id="rId21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2026-09-18T12:35:37Z</dcterms:created>
  <dcterms:modified xmlns:dcterms="http://purl.org/dc/terms/" xmlns:xsi="http://www.w3.org/2001/XMLSchema-instance" xsi:type="dcterms:W3CDTF">2026-09-18T12:35:37Z</dcterms:modified>
</cp:coreProperties>
</file>