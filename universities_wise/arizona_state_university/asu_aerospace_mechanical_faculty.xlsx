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eld Matched" sheetId="1" state="visible" r:id="rId1"/>
    <sheet xmlns:r="http://schemas.openxmlformats.org/officeDocument/2006/relationships" name="All Faculty"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1"/>
    </font>
    <font>
      <name val="Calibri"/>
      <color rgb="000563C1"/>
      <sz val="11"/>
      <u val="single"/>
    </font>
  </fonts>
  <fills count="3">
    <fill>
      <patternFill/>
    </fill>
    <fill>
      <patternFill patternType="gray125"/>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center"/>
    </xf>
    <xf numFmtId="0"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kasbaoui.bitbucket.io" TargetMode="External" Id="rId4"/><Relationship Type="http://schemas.openxmlformats.org/officeDocument/2006/relationships/hyperlink" Target="https://bitbucket.org/krgasu/leap/downloads/leap-v0.8.2.tar.gz" TargetMode="External" Id="rId5"/><Relationship Type="http://schemas.openxmlformats.org/officeDocument/2006/relationships/hyperlink" Target="https://faculty.engineering.asu.edu/directory/semte/aerospace-and-mechanical-engineering/" TargetMode="External" Id="rId6"/><Relationship Type="http://schemas.openxmlformats.org/officeDocument/2006/relationships/hyperlink" Target="https://search.asu.edu/profile/lwang78" TargetMode="External" Id="rId7"/><Relationship Type="http://schemas.openxmlformats.org/officeDocument/2006/relationships/hyperlink" Target="https://scholar.google.com/citations?view_op=search_authors&amp;mauthors=Liping%20Wang%20Arizona%20State%20University" TargetMode="External" Id="rId8"/><Relationship Type="http://schemas.openxmlformats.org/officeDocument/2006/relationships/hyperlink" Target="mailto:Liping.Wang@asu.edu" TargetMode="External" Id="rId9"/><Relationship Type="http://schemas.openxmlformats.org/officeDocument/2006/relationships/hyperlink" Target="http://faculty.engineering.asu.edu/lpwang" TargetMode="External" Id="rId10"/><Relationship Type="http://schemas.openxmlformats.org/officeDocument/2006/relationships/hyperlink" Target="https://faculty.engineering.asu.edu/directory/semte/aerospace-and-mechanical-engineering/" TargetMode="External" Id="rId11"/><Relationship Type="http://schemas.openxmlformats.org/officeDocument/2006/relationships/hyperlink" Target="https://search.asu.edu/profile/joswald1" TargetMode="External" Id="rId12"/><Relationship Type="http://schemas.openxmlformats.org/officeDocument/2006/relationships/hyperlink" Target="https://scholar.google.com/citations?view_op=search_authors&amp;mauthors=Jay%20Oswald%20Arizona%20State%20University" TargetMode="External" Id="rId13"/><Relationship Type="http://schemas.openxmlformats.org/officeDocument/2006/relationships/hyperlink" Target="mailto:joswald1@asu.edu" TargetMode="External" Id="rId14"/><Relationship Type="http://schemas.openxmlformats.org/officeDocument/2006/relationships/hyperlink" Target="http://sparky.fulton.asu.edu/oswald/"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https://search.asu.edu/profile/jsun165" TargetMode="External" Id="rId17"/><Relationship Type="http://schemas.openxmlformats.org/officeDocument/2006/relationships/hyperlink" Target="https://scholar.google.com/citations?hl=en&amp;user=fjUoHOsAAAAJ" TargetMode="External" Id="rId18"/><Relationship Type="http://schemas.openxmlformats.org/officeDocument/2006/relationships/hyperlink" Target="mailto:Jiefeng.Sun@asu.edu" TargetMode="External" Id="rId19"/><Relationship Type="http://schemas.openxmlformats.org/officeDocument/2006/relationships/hyperlink" Target="https://sunroboticslab.github.io" TargetMode="External" Id="rId20"/><Relationship Type="http://schemas.openxmlformats.org/officeDocument/2006/relationships/hyperlink" Target="https://faculty.engineering.asu.edu/directory/semte/aerospace-and-mechanical-engineering/" TargetMode="External" Id="rId21"/><Relationship Type="http://schemas.openxmlformats.org/officeDocument/2006/relationships/hyperlink" Target="https://search.asu.edu/profile/asuchen" TargetMode="External" Id="rId22"/><Relationship Type="http://schemas.openxmlformats.org/officeDocument/2006/relationships/hyperlink" Target="https://scholar.google.com/citations?hl=en&amp;user=xT-lX9sAAAAJ" TargetMode="External" Id="rId23"/><Relationship Type="http://schemas.openxmlformats.org/officeDocument/2006/relationships/hyperlink" Target="mailto:k.p.chen@asu.edu" TargetMode="External" Id="rId24"/><Relationship Type="http://schemas.openxmlformats.org/officeDocument/2006/relationships/hyperlink" Target="https://faculty.engineering.asu.edu/directory/semte/aerospace-and-mechanical-engineering/" TargetMode="External" Id="rId25"/><Relationship Type="http://schemas.openxmlformats.org/officeDocument/2006/relationships/hyperlink" Target="https://search.asu.edu/profile/kramesh2" TargetMode="External" Id="rId26"/><Relationship Type="http://schemas.openxmlformats.org/officeDocument/2006/relationships/hyperlink" Target="https://scholar.google.com/citations?hl=en&amp;user=DKc-AgcAAAAJ" TargetMode="External" Id="rId27"/><Relationship Type="http://schemas.openxmlformats.org/officeDocument/2006/relationships/hyperlink" Target="mailto:Kiran.Ramesh@asu.edu" TargetMode="External" Id="rId28"/><Relationship Type="http://schemas.openxmlformats.org/officeDocument/2006/relationships/hyperlink" Target="https://faculty.engineering.asu.edu/directory/semte/aerospace-and-mechanical-engineering/" TargetMode="External" Id="rId29"/><Relationship Type="http://schemas.openxmlformats.org/officeDocument/2006/relationships/hyperlink" Target="https://search.asu.edu/profile/kgarg24" TargetMode="External" Id="rId30"/><Relationship Type="http://schemas.openxmlformats.org/officeDocument/2006/relationships/hyperlink" Target="https://scholar.google.com/citations?hl=en&amp;user=vs3pl-8AAAAJ" TargetMode="External" Id="rId31"/><Relationship Type="http://schemas.openxmlformats.org/officeDocument/2006/relationships/hyperlink" Target="mailto:kgarg24@asu.edu" TargetMode="External" Id="rId32"/><Relationship Type="http://schemas.openxmlformats.org/officeDocument/2006/relationships/hyperlink" Target="https://sites.google.com/asu.edu/kunalgarg/" TargetMode="External" Id="rId33"/><Relationship Type="http://schemas.openxmlformats.org/officeDocument/2006/relationships/hyperlink" Target="https://faculty.engineering.asu.edu/directory/semte/aerospace-and-mechanical-engineering/" TargetMode="External" Id="rId34"/><Relationship Type="http://schemas.openxmlformats.org/officeDocument/2006/relationships/hyperlink" Target="https://search.asu.edu/profile/leixinma" TargetMode="External" Id="rId35"/><Relationship Type="http://schemas.openxmlformats.org/officeDocument/2006/relationships/hyperlink" Target="https://scholar.google.com/citations?hl=en&amp;user=2xQTOc0AAAAJ" TargetMode="External" Id="rId36"/><Relationship Type="http://schemas.openxmlformats.org/officeDocument/2006/relationships/hyperlink" Target="mailto:Leixin.Ma@asu.edu" TargetMode="External" Id="rId37"/><Relationship Type="http://schemas.openxmlformats.org/officeDocument/2006/relationships/hyperlink" Target="https://sites.google.com/view/oasislabasu"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https://search.asu.edu/profile/gpathiko" TargetMode="External" Id="rId40"/><Relationship Type="http://schemas.openxmlformats.org/officeDocument/2006/relationships/hyperlink" Target="https://scholar.google.com/citations?view_op=search_authors&amp;mauthors=Gokul%20Pathikonda%20Arizona%20State%20University" TargetMode="External" Id="rId41"/><Relationship Type="http://schemas.openxmlformats.org/officeDocument/2006/relationships/hyperlink" Target="mailto:Gokul.Pathikonda@asu.edu" TargetMode="External" Id="rId42"/><Relationship Type="http://schemas.openxmlformats.org/officeDocument/2006/relationships/hyperlink" Target="https://faculty.engineering.asu.edu/cmat/" TargetMode="External" Id="rId43"/><Relationship Type="http://schemas.openxmlformats.org/officeDocument/2006/relationships/hyperlink" Target="https://faculty.engineering.asu.edu/directory/semte/aerospace-and-mechanical-engineering/" TargetMode="External" Id="rId44"/><Relationship Type="http://schemas.openxmlformats.org/officeDocument/2006/relationships/hyperlink" Target="https://search.asu.edu/profile/mherrma1" TargetMode="External" Id="rId45"/><Relationship Type="http://schemas.openxmlformats.org/officeDocument/2006/relationships/hyperlink" Target="https://scholar.google.com/citations?hl=en&amp;user=yv6aCW8AAAAJ" TargetMode="External" Id="rId46"/><Relationship Type="http://schemas.openxmlformats.org/officeDocument/2006/relationships/hyperlink" Target="mailto:Marcus.Herrmann@asu.edu" TargetMode="External" Id="rId47"/><Relationship Type="http://schemas.openxmlformats.org/officeDocument/2006/relationships/hyperlink" Target="https://faculty.engineering.asu.edu/directory/semte/aerospace-and-mechanical-engineering/" TargetMode="External" Id="rId48"/><Relationship Type="http://schemas.openxmlformats.org/officeDocument/2006/relationships/hyperlink" Target="https://search.asu.edu/profile/smberma2" TargetMode="External" Id="rId49"/><Relationship Type="http://schemas.openxmlformats.org/officeDocument/2006/relationships/hyperlink" Target="https://scholar.google.com/citations?hl=en&amp;user=KKup0OgAAAAJ" TargetMode="External" Id="rId50"/><Relationship Type="http://schemas.openxmlformats.org/officeDocument/2006/relationships/hyperlink" Target="mailto:Spring.Berman@asu.edu" TargetMode="External" Id="rId51"/><Relationship Type="http://schemas.openxmlformats.org/officeDocument/2006/relationships/hyperlink" Target="http://faculty.engineering.asu.edu/acs/" TargetMode="External" Id="rId52"/><Relationship Type="http://schemas.openxmlformats.org/officeDocument/2006/relationships/hyperlink" Target="https://faculty.engineering.asu.edu/directory/semte/aerospace-and-mechanical-engineering/" TargetMode="External" Id="rId53"/><Relationship Type="http://schemas.openxmlformats.org/officeDocument/2006/relationships/hyperlink" Target="https://search.asu.edu/profile/xzhe1" TargetMode="External" Id="rId54"/><Relationship Type="http://schemas.openxmlformats.org/officeDocument/2006/relationships/hyperlink" Target="https://scholar.google.com/citations?view_op=search_authors&amp;mauthors=Zhe%20Xu%20Arizona%20State%20University" TargetMode="External" Id="rId55"/><Relationship Type="http://schemas.openxmlformats.org/officeDocument/2006/relationships/hyperlink" Target="mailto:xzhe1@asu.edu" TargetMode="External" Id="rId56"/><Relationship Type="http://schemas.openxmlformats.org/officeDocument/2006/relationships/hyperlink" Target="https://sites.google.com/site/zhexudavid00710/research?authuser=0" TargetMode="External" Id="rId57"/><Relationship Type="http://schemas.openxmlformats.org/officeDocument/2006/relationships/hyperlink" Target="https://faculty.engineering.asu.edu/directory/semte/aerospace-and-mechanical-engineering/" TargetMode="External" Id="rId58"/><Relationship Type="http://schemas.openxmlformats.org/officeDocument/2006/relationships/hyperlink" Target="https://search.asu.edu/profile/jkim520" TargetMode="External" Id="rId59"/><Relationship Type="http://schemas.openxmlformats.org/officeDocument/2006/relationships/hyperlink" Target="https://scholar.google.com/citations?view_op=search_authors&amp;mauthors=Jeonglae%20Kim%20Arizona%20State%20University" TargetMode="External" Id="rId60"/><Relationship Type="http://schemas.openxmlformats.org/officeDocument/2006/relationships/hyperlink" Target="mailto:jeokim@asu.edu" TargetMode="External" Id="rId61"/><Relationship Type="http://schemas.openxmlformats.org/officeDocument/2006/relationships/hyperlink" Target="https://faculty.engineering.asu.edu/directory/semte/aerospace-and-mechanical-engineering/" TargetMode="External" Id="rId62"/><Relationship Type="http://schemas.openxmlformats.org/officeDocument/2006/relationships/hyperlink" Target="https://search.asu.edu/profile/mpeet" TargetMode="External" Id="rId63"/><Relationship Type="http://schemas.openxmlformats.org/officeDocument/2006/relationships/hyperlink" Target="https://scholar.google.com/citations?hl=en&amp;user=l7umOqMAAAAJ" TargetMode="External" Id="rId64"/><Relationship Type="http://schemas.openxmlformats.org/officeDocument/2006/relationships/hyperlink" Target="mailto:mpeet@asu.edu" TargetMode="External" Id="rId65"/><Relationship Type="http://schemas.openxmlformats.org/officeDocument/2006/relationships/hyperlink" Target="http://control.asu.edu/" TargetMode="External" Id="rId66"/><Relationship Type="http://schemas.openxmlformats.org/officeDocument/2006/relationships/hyperlink" Target="https://faculty.engineering.asu.edu/directory/semte/aerospace-and-mechanical-engineering/" TargetMode="External" Id="rId67"/><Relationship Type="http://schemas.openxmlformats.org/officeDocument/2006/relationships/hyperlink" Target="https://search.asu.edu/profile/rywang" TargetMode="External" Id="rId68"/><Relationship Type="http://schemas.openxmlformats.org/officeDocument/2006/relationships/hyperlink" Target="https://scholar.google.com/citations?hl=en&amp;user=LaUdx9gAAAAJ" TargetMode="External" Id="rId69"/><Relationship Type="http://schemas.openxmlformats.org/officeDocument/2006/relationships/hyperlink" Target="mailto:rywang@asu.edu" TargetMode="External" Id="rId70"/><Relationship Type="http://schemas.openxmlformats.org/officeDocument/2006/relationships/hyperlink" Target="http://wang.faculty.asu.edu/" TargetMode="External" Id="rId71"/><Relationship Type="http://schemas.openxmlformats.org/officeDocument/2006/relationships/hyperlink" Target="https://faculty.engineering.asu.edu/directory/semte/aerospace-and-mechanical-engineering/" TargetMode="External" Id="rId72"/><Relationship Type="http://schemas.openxmlformats.org/officeDocument/2006/relationships/hyperlink" Target="https://search.asu.edu/profile/rjmilcar" TargetMode="External" Id="rId73"/><Relationship Type="http://schemas.openxmlformats.org/officeDocument/2006/relationships/hyperlink" Target="https://scholar.google.com/citations?hl=en&amp;user=m-Pb6g2pm2UC" TargetMode="External" Id="rId74"/><Relationship Type="http://schemas.openxmlformats.org/officeDocument/2006/relationships/hyperlink" Target="mailto:Ryan.Milcarek@asu.edu" TargetMode="External" Id="rId75"/><Relationship Type="http://schemas.openxmlformats.org/officeDocument/2006/relationships/hyperlink" Target="http://RESEARCHGATE.net/profile/Ryan_Milcarek" TargetMode="External" Id="rId76"/><Relationship Type="http://schemas.openxmlformats.org/officeDocument/2006/relationships/hyperlink" Target="https://faculty.engineering.asu.edu/directory/semte/aerospace-and-mechanical-engineering/" TargetMode="External" Id="rId77"/><Relationship Type="http://schemas.openxmlformats.org/officeDocument/2006/relationships/hyperlink" Target="https://search.asu.edu/profile/attwl" TargetMode="External" Id="rId78"/><Relationship Type="http://schemas.openxmlformats.org/officeDocument/2006/relationships/hyperlink" Target="https://scholar.google.com/citations?view_op=search_authors&amp;mauthors=T.-W.%20Lee%20Arizona%20State%20University" TargetMode="External" Id="rId79"/><Relationship Type="http://schemas.openxmlformats.org/officeDocument/2006/relationships/hyperlink" Target="mailto:ATTWL@asu.edu" TargetMode="External" Id="rId80"/><Relationship Type="http://schemas.openxmlformats.org/officeDocument/2006/relationships/hyperlink" Target="https://faculty.engineering.asu.edu/directory/semte/aerospace-and-mechanical-engineering/" TargetMode="External" Id="rId81"/><Relationship Type="http://schemas.openxmlformats.org/officeDocument/2006/relationships/hyperlink" Target="https://search.asu.edu/profile/tyang123" TargetMode="External" Id="rId82"/><Relationship Type="http://schemas.openxmlformats.org/officeDocument/2006/relationships/hyperlink" Target="https://scholar.google.com/citations?hl=en&amp;user=OmBV67MAAAAJ" TargetMode="External" Id="rId83"/><Relationship Type="http://schemas.openxmlformats.org/officeDocument/2006/relationships/hyperlink" Target="mailto:Tianyu.Yang@asu.edu" TargetMode="External" Id="rId84"/><Relationship Type="http://schemas.openxmlformats.org/officeDocument/2006/relationships/hyperlink" Target="https://faculty.engineering.asu.edu/directory/semte/aerospace-and-mechanical-engineering/" TargetMode="External" Id="rId85"/><Relationship Type="http://schemas.openxmlformats.org/officeDocument/2006/relationships/hyperlink" Target="https://search.asu.edu/profile/chattopa" TargetMode="External" Id="rId86"/><Relationship Type="http://schemas.openxmlformats.org/officeDocument/2006/relationships/hyperlink" Target="https://scholar.google.com/citations?hl=en&amp;user=w3fU9E0AAAAJ" TargetMode="External" Id="rId87"/><Relationship Type="http://schemas.openxmlformats.org/officeDocument/2006/relationships/hyperlink" Target="mailto:aditi@asu.edu" TargetMode="External" Id="rId88"/><Relationship Type="http://schemas.openxmlformats.org/officeDocument/2006/relationships/hyperlink" Target="https://faculty.engineering.asu.edu/directory/semte/aerospace-and-mechanical-engineering/" TargetMode="External" Id="rId89"/><Relationship Type="http://schemas.openxmlformats.org/officeDocument/2006/relationships/hyperlink" Target="https://search.asu.edu/profile/adscotti" TargetMode="External" Id="rId90"/><Relationship Type="http://schemas.openxmlformats.org/officeDocument/2006/relationships/hyperlink" Target="https://scholar.google.com/citations?hl=en&amp;user=HRx2lJQAAAAJ" TargetMode="External" Id="rId91"/><Relationship Type="http://schemas.openxmlformats.org/officeDocument/2006/relationships/hyperlink" Target="mailto:Alberto.Scotti@asu.edu" TargetMode="External" Id="rId92"/><Relationship Type="http://schemas.openxmlformats.org/officeDocument/2006/relationships/hyperlink" Target="https://faculty.engineering.asu.edu/directory/semte/aerospace-and-mechanical-engineering/" TargetMode="External" Id="rId93"/><Relationship Type="http://schemas.openxmlformats.org/officeDocument/2006/relationships/hyperlink" Target="https://search.asu.edu/profile/bkwon2" TargetMode="External" Id="rId94"/><Relationship Type="http://schemas.openxmlformats.org/officeDocument/2006/relationships/hyperlink" Target="https://scholar.google.com/citations?hl=en&amp;user=fs2d97sAAAAJ" TargetMode="External" Id="rId95"/><Relationship Type="http://schemas.openxmlformats.org/officeDocument/2006/relationships/hyperlink" Target="mailto:kwon@asu.edu" TargetMode="External" Id="rId96"/><Relationship Type="http://schemas.openxmlformats.org/officeDocument/2006/relationships/hyperlink" Target="http://sites.google.com/view/3denergy" TargetMode="External" Id="rId97"/><Relationship Type="http://schemas.openxmlformats.org/officeDocument/2006/relationships/hyperlink" Target="https://faculty.engineering.asu.edu/directory/semte/aerospace-and-mechanical-engineering/" TargetMode="External" Id="rId98"/><Relationship Type="http://schemas.openxmlformats.org/officeDocument/2006/relationships/hyperlink" Target="https://search.asu.edu/profile/hmarvi" TargetMode="External" Id="rId99"/><Relationship Type="http://schemas.openxmlformats.org/officeDocument/2006/relationships/hyperlink" Target="https://scholar.google.com/citations?hl=en&amp;user=00Fepb0AAAAJ" TargetMode="External" Id="rId100"/><Relationship Type="http://schemas.openxmlformats.org/officeDocument/2006/relationships/hyperlink" Target="mailto:hmarvi@asu.edu" TargetMode="External" Id="rId101"/><Relationship Type="http://schemas.openxmlformats.org/officeDocument/2006/relationships/hyperlink" Target="http://birth.asu.edu" TargetMode="External" Id="rId102"/><Relationship Type="http://schemas.openxmlformats.org/officeDocument/2006/relationships/hyperlink" Target="https://faculty.engineering.asu.edu/directory/semte/aerospace-and-mechanical-engineering/" TargetMode="External" Id="rId103"/><Relationship Type="http://schemas.openxmlformats.org/officeDocument/2006/relationships/hyperlink" Target="https://search.asu.edu/profile/hlee234" TargetMode="External" Id="rId104"/><Relationship Type="http://schemas.openxmlformats.org/officeDocument/2006/relationships/hyperlink" Target="https://scholar.google.com/citations?view_op=search_authors&amp;mauthors=Hyunglae%20Lee%20Arizona%20State%20University" TargetMode="External" Id="rId105"/><Relationship Type="http://schemas.openxmlformats.org/officeDocument/2006/relationships/hyperlink" Target="mailto:Hyunglae.Lee@asu.edu" TargetMode="External" Id="rId106"/><Relationship Type="http://schemas.openxmlformats.org/officeDocument/2006/relationships/hyperlink" Target="https://faculty.engineering.asu.edu/hlee" TargetMode="External" Id="rId107"/><Relationship Type="http://schemas.openxmlformats.org/officeDocument/2006/relationships/hyperlink" Target="https://faculty.engineering.asu.edu/directory/semte/aerospace-and-mechanical-engineering/" TargetMode="External" Id="rId108"/><Relationship Type="http://schemas.openxmlformats.org/officeDocument/2006/relationships/hyperlink" Target="https://search.asu.edu/profile/ljannesa" TargetMode="External" Id="rId109"/><Relationship Type="http://schemas.openxmlformats.org/officeDocument/2006/relationships/hyperlink" Target="https://scholar.google.com/citations?view_op=search_authors&amp;mauthors=Leila%20Ladani%20Arizona%20State%20University" TargetMode="External" Id="rId110"/><Relationship Type="http://schemas.openxmlformats.org/officeDocument/2006/relationships/hyperlink" Target="mailto:ladani@asu.edu" TargetMode="External" Id="rId111"/><Relationship Type="http://schemas.openxmlformats.org/officeDocument/2006/relationships/hyperlink" Target="https://magic.asu.edu/" TargetMode="External" Id="rId112"/><Relationship Type="http://schemas.openxmlformats.org/officeDocument/2006/relationships/hyperlink" Target="https://faculty.engineering.asu.edu/directory/semte/aerospace-and-mechanical-engineering/" TargetMode="External" Id="rId113"/><Relationship Type="http://schemas.openxmlformats.org/officeDocument/2006/relationships/hyperlink" Target="https://search.asu.edu/profile/pphelan" TargetMode="External" Id="rId114"/><Relationship Type="http://schemas.openxmlformats.org/officeDocument/2006/relationships/hyperlink" Target="https://scholar.google.com/citations?view_op=search_authors&amp;mauthors=Patrick%20Phelan%20Arizona%20State%20University" TargetMode="External" Id="rId115"/><Relationship Type="http://schemas.openxmlformats.org/officeDocument/2006/relationships/hyperlink" Target="mailto:phelan@asu.edu" TargetMode="External" Id="rId116"/><Relationship Type="http://schemas.openxmlformats.org/officeDocument/2006/relationships/hyperlink" Target="https://faculty.engineering.asu.edu/directory/semte/aerospace-and-mechanical-engineering/" TargetMode="External" Id="rId117"/><Relationship Type="http://schemas.openxmlformats.org/officeDocument/2006/relationships/hyperlink" Target="https://search.asu.edu/profile/ypeet" TargetMode="External" Id="rId118"/><Relationship Type="http://schemas.openxmlformats.org/officeDocument/2006/relationships/hyperlink" Target="https://scholar.google.com/citations?hl=en&amp;user=_6o8MrUAAAAJ" TargetMode="External" Id="rId119"/><Relationship Type="http://schemas.openxmlformats.org/officeDocument/2006/relationships/hyperlink" Target="mailto:ypeet@asu.edu" TargetMode="External" Id="rId120"/><Relationship Type="http://schemas.openxmlformats.org/officeDocument/2006/relationships/hyperlink" Target="https://isim.asu.edu" TargetMode="External" Id="rId121"/><Relationship Type="http://schemas.openxmlformats.org/officeDocument/2006/relationships/hyperlink" Target="https://faculty.engineering.asu.edu/directory/semte/aerospace-and-mechanical-engineering/" TargetMode="External" Id="rId122"/><Relationship Type="http://schemas.openxmlformats.org/officeDocument/2006/relationships/hyperlink" Target="https://search.asu.edu/profile/hzhuang7" TargetMode="External" Id="rId123"/><Relationship Type="http://schemas.openxmlformats.org/officeDocument/2006/relationships/hyperlink" Target="https://scholar.google.com/citations?hl=en&amp;user=4yYKCpUAAAAJ" TargetMode="External" Id="rId124"/><Relationship Type="http://schemas.openxmlformats.org/officeDocument/2006/relationships/hyperlink" Target="mailto:zhuanghl@asu.edu" TargetMode="External" Id="rId125"/><Relationship Type="http://schemas.openxmlformats.org/officeDocument/2006/relationships/hyperlink" Target="https://faculty.engineering.asu.edu/directory/semte/aerospace-and-mechanical-engineering/" TargetMode="External" Id="rId126"/><Relationship Type="http://schemas.openxmlformats.org/officeDocument/2006/relationships/hyperlink" Target="https://search.asu.edu/profile/hhuang38" TargetMode="External" Id="rId127"/><Relationship Type="http://schemas.openxmlformats.org/officeDocument/2006/relationships/hyperlink" Target="https://scholar.google.com/citations?view_op=search_authors&amp;mauthors=Huei-Ping%20Huang%20Arizona%20State%20University" TargetMode="External" Id="rId128"/><Relationship Type="http://schemas.openxmlformats.org/officeDocument/2006/relationships/hyperlink" Target="mailto:Huei-Ping.Huang@asu.edu" TargetMode="External" Id="rId129"/><Relationship Type="http://schemas.openxmlformats.org/officeDocument/2006/relationships/hyperlink" Target="http://www.public.asu.edu/~hhuang38" TargetMode="External" Id="rId130"/><Relationship Type="http://schemas.openxmlformats.org/officeDocument/2006/relationships/hyperlink" Target="https://faculty.engineering.asu.edu/directory/semte/aerospace-and-mechanical-engineering/" TargetMode="External" Id="rId131"/><Relationship Type="http://schemas.openxmlformats.org/officeDocument/2006/relationships/hyperlink" Target="https://search.asu.edu/profile/jrajago1" TargetMode="External" Id="rId132"/><Relationship Type="http://schemas.openxmlformats.org/officeDocument/2006/relationships/hyperlink" Target="https://scholar.google.com/citations?hl=en&amp;user=ClqRIhIAAAAJ" TargetMode="External" Id="rId133"/><Relationship Type="http://schemas.openxmlformats.org/officeDocument/2006/relationships/hyperlink" Target="mailto:Jagannathan.Rajagopalan@asu.edu" TargetMode="External" Id="rId134"/><Relationship Type="http://schemas.openxmlformats.org/officeDocument/2006/relationships/hyperlink" Target="http://faculty.engineering.asu.edu/jagan/" TargetMode="External" Id="rId135"/><Relationship Type="http://schemas.openxmlformats.org/officeDocument/2006/relationships/hyperlink" Target="https://faculty.engineering.asu.edu/directory/semte/aerospace-and-mechanical-engineering/" TargetMode="External" Id="rId136"/><Relationship Type="http://schemas.openxmlformats.org/officeDocument/2006/relationships/hyperlink" Target="https://search.asu.edu/profile/krykacze" TargetMode="External" Id="rId137"/><Relationship Type="http://schemas.openxmlformats.org/officeDocument/2006/relationships/hyperlink" Target="https://scholar.google.com/citations?hl=en&amp;user=SWeAf4UAAAAJ" TargetMode="External" Id="rId138"/><Relationship Type="http://schemas.openxmlformats.org/officeDocument/2006/relationships/hyperlink" Target="mailto:konradr@asu.edu" TargetMode="External" Id="rId139"/><Relationship Type="http://schemas.openxmlformats.org/officeDocument/2006/relationships/hyperlink" Target="http://faculty.engineering.asu.edu/konrad/" TargetMode="External" Id="rId140"/><Relationship Type="http://schemas.openxmlformats.org/officeDocument/2006/relationships/hyperlink" Target="https://faculty.engineering.asu.edu/directory/semte/aerospace-and-mechanical-engineering/" TargetMode="External" Id="rId141"/><Relationship Type="http://schemas.openxmlformats.org/officeDocument/2006/relationships/hyperlink" Target="https://search.asu.edu/profile/mingleiq" TargetMode="External" Id="rId142"/><Relationship Type="http://schemas.openxmlformats.org/officeDocument/2006/relationships/hyperlink" Target="https://scholar.google.com/citations?hl=en&amp;user=9LWNC50AAAAJ" TargetMode="External" Id="rId143"/><Relationship Type="http://schemas.openxmlformats.org/officeDocument/2006/relationships/hyperlink" Target="mailto:minglei.qu@asu.edu" TargetMode="External" Id="rId144"/><Relationship Type="http://schemas.openxmlformats.org/officeDocument/2006/relationships/hyperlink" Target="https://faculty.engineering.asu.edu/directory/semte/aerospace-and-mechanical-engineering/" TargetMode="External" Id="rId145"/><Relationship Type="http://schemas.openxmlformats.org/officeDocument/2006/relationships/hyperlink" Target="https://search.asu.edu/profile/qnian" TargetMode="External" Id="rId146"/><Relationship Type="http://schemas.openxmlformats.org/officeDocument/2006/relationships/hyperlink" Target="https://scholar.google.com/citations?view_op=search_authors&amp;mauthors=Qiong%20Nian%20Arizona%20State%20University" TargetMode="External" Id="rId147"/><Relationship Type="http://schemas.openxmlformats.org/officeDocument/2006/relationships/hyperlink" Target="mailto:Qiong.Nian@asu.edu" TargetMode="External" Id="rId148"/><Relationship Type="http://schemas.openxmlformats.org/officeDocument/2006/relationships/hyperlink" Target="https://mmmplab.engineering.asu.edu/" TargetMode="External" Id="rId149"/><Relationship Type="http://schemas.openxmlformats.org/officeDocument/2006/relationships/hyperlink" Target="https://faculty.engineering.asu.edu/directory/semte/aerospace-and-mechanical-engineering/" TargetMode="External" Id="rId150"/><Relationship Type="http://schemas.openxmlformats.org/officeDocument/2006/relationships/hyperlink" Target="https://search.asu.edu/profile/rcalhou" TargetMode="External" Id="rId151"/><Relationship Type="http://schemas.openxmlformats.org/officeDocument/2006/relationships/hyperlink" Target="https://scholar.google.com/citations?view_op=search_authors&amp;mauthors=Ronald%20Calhoun%20Arizona%20State%20University" TargetMode="External" Id="rId152"/><Relationship Type="http://schemas.openxmlformats.org/officeDocument/2006/relationships/hyperlink" Target="mailto:Ronald.Calhoun@asu.edu" TargetMode="External" Id="rId153"/><Relationship Type="http://schemas.openxmlformats.org/officeDocument/2006/relationships/hyperlink" Target="https://windlab.engineering.asu.edu/ronald-calhoun/" TargetMode="External" Id="rId154"/><Relationship Type="http://schemas.openxmlformats.org/officeDocument/2006/relationships/hyperlink" Target="https://faculty.engineering.asu.edu/directory/semte/aerospace-and-mechanical-engineering/" TargetMode="External" Id="rId155"/><Relationship Type="http://schemas.openxmlformats.org/officeDocument/2006/relationships/hyperlink" Target="https://search.asu.edu/profile/wjin34" TargetMode="External" Id="rId156"/><Relationship Type="http://schemas.openxmlformats.org/officeDocument/2006/relationships/hyperlink" Target="https://scholar.google.com/citations?hl=en&amp;user=SoEC4h4AAAAJ" TargetMode="External" Id="rId157"/><Relationship Type="http://schemas.openxmlformats.org/officeDocument/2006/relationships/hyperlink" Target="mailto:wjin@asu.edu" TargetMode="External" Id="rId158"/><Relationship Type="http://schemas.openxmlformats.org/officeDocument/2006/relationships/hyperlink" Target="https://irislab.tech/" TargetMode="External" Id="rId159"/><Relationship Type="http://schemas.openxmlformats.org/officeDocument/2006/relationships/hyperlink" Target="https://github.com/asu-iris" TargetMode="External" Id="rId160"/><Relationship Type="http://schemas.openxmlformats.org/officeDocument/2006/relationships/hyperlink" Target="https://faculty.engineering.asu.edu/directory/semte/aerospace-and-mechanical-engineering/" TargetMode="External" Id="rId161"/><Relationship Type="http://schemas.openxmlformats.org/officeDocument/2006/relationships/hyperlink" Target="https://search.asu.edu/profile/yliu35" TargetMode="External" Id="rId162"/><Relationship Type="http://schemas.openxmlformats.org/officeDocument/2006/relationships/hyperlink" Target="https://scholar.google.com/citations?view_op=search_authors&amp;mauthors=Yongming%20Liu%20Arizona%20State%20University" TargetMode="External" Id="rId163"/><Relationship Type="http://schemas.openxmlformats.org/officeDocument/2006/relationships/hyperlink" Target="mailto:Yongming.Liu@asu.edu" TargetMode="External" Id="rId164"/><Relationship Type="http://schemas.openxmlformats.org/officeDocument/2006/relationships/hyperlink" Target="https://faculty.engineering.asu.edu/directory/semte/aerospace-and-mechanical-engineering/" TargetMode="External" Id="rId165"/><Relationship Type="http://schemas.openxmlformats.org/officeDocument/2006/relationships/hyperlink" Target="https://search.asu.edu/profile/xiangji5" TargetMode="External" Id="rId166"/><Relationship Type="http://schemas.openxmlformats.org/officeDocument/2006/relationships/hyperlink" Target="https://scholar.google.com/citations?hl=en&amp;user=tGQzHJIAAAAJ" TargetMode="External" Id="rId167"/><Relationship Type="http://schemas.openxmlformats.org/officeDocument/2006/relationships/hyperlink" Target="mailto:xiangjia.li@asu.edu" TargetMode="External" Id="rId168"/><Relationship Type="http://schemas.openxmlformats.org/officeDocument/2006/relationships/hyperlink" Target="https://www.cindyxjli.com/" TargetMode="External" Id="rId169"/><Relationship Type="http://schemas.openxmlformats.org/officeDocument/2006/relationships/hyperlink" Target="https://faculty.engineering.asu.edu/directory/semte/aerospace-and-mechanical-engineering/" TargetMode="External" Id="rId170"/><Relationship Type="http://schemas.openxmlformats.org/officeDocument/2006/relationships/hyperlink" Target="https://search.asu.edu/profile/jimbo" TargetMode="External" Id="rId171"/><Relationship Type="http://schemas.openxmlformats.org/officeDocument/2006/relationships/hyperlink" Target="https://scholar.google.com/citations?view_op=search_authors&amp;mauthors=James%20Middleton%20Arizona%20State%20University" TargetMode="External" Id="rId172"/><Relationship Type="http://schemas.openxmlformats.org/officeDocument/2006/relationships/hyperlink" Target="mailto:jimbo@asu.edu" TargetMode="External" Id="rId173"/><Relationship Type="http://schemas.openxmlformats.org/officeDocument/2006/relationships/hyperlink" Target="https://faculty.engineering.asu.edu/directory/semte/aerospace-and-mechanical-engineering/" TargetMode="External" Id="rId174"/><Relationship Type="http://schemas.openxmlformats.org/officeDocument/2006/relationships/hyperlink" Target="https://search.asu.edu/profile/linli25" TargetMode="External" Id="rId175"/><Relationship Type="http://schemas.openxmlformats.org/officeDocument/2006/relationships/hyperlink" Target="https://scholar.google.com/citations?view_op=search_authors&amp;mauthors=Lin%20Li%20Arizona%20State%20University" TargetMode="External" Id="rId176"/><Relationship Type="http://schemas.openxmlformats.org/officeDocument/2006/relationships/hyperlink" Target="mailto:Lin.Li.10@asu.edu" TargetMode="External" Id="rId177"/><Relationship Type="http://schemas.openxmlformats.org/officeDocument/2006/relationships/hyperlink" Target="https://faculty.engineering.asu.edu/directory/semte/aerospace-and-mechanical-engineering/" TargetMode="External" Id="rId178"/><Relationship Type="http://schemas.openxmlformats.org/officeDocument/2006/relationships/hyperlink" Target="https://search.asu.edu/profile/marc03" TargetMode="External" Id="rId179"/><Relationship Type="http://schemas.openxmlformats.org/officeDocument/2006/relationships/hyperlink" Target="https://scholar.google.com/citations?view_op=search_authors&amp;mauthors=Marc%20Mignolet%20Arizona%20State%20University" TargetMode="External" Id="rId180"/><Relationship Type="http://schemas.openxmlformats.org/officeDocument/2006/relationships/hyperlink" Target="mailto:marc.mignolet@asu.edu" TargetMode="External" Id="rId181"/><Relationship Type="http://schemas.openxmlformats.org/officeDocument/2006/relationships/hyperlink" Target="https://faculty.engineering.asu.edu/directory/semte/aerospace-and-mechanical-engineering/" TargetMode="External" Id="rId182"/><Relationship Type="http://schemas.openxmlformats.org/officeDocument/2006/relationships/hyperlink" Target="https://search.asu.edu/profile/pperalta" TargetMode="External" Id="rId183"/><Relationship Type="http://schemas.openxmlformats.org/officeDocument/2006/relationships/hyperlink" Target="https://scholar.google.com/citations?view_op=search_authors&amp;mauthors=Pedro%20Peralta%20Arizona%20State%20University" TargetMode="External" Id="rId184"/><Relationship Type="http://schemas.openxmlformats.org/officeDocument/2006/relationships/hyperlink" Target="mailto:pperalta@asu.edu" TargetMode="External" Id="rId185"/><Relationship Type="http://schemas.openxmlformats.org/officeDocument/2006/relationships/hyperlink" Target="https://faculty.engineering.asu.edu/pperalta/" TargetMode="External" Id="rId186"/><Relationship Type="http://schemas.openxmlformats.org/officeDocument/2006/relationships/hyperlink" Target="https://faculty.engineering.asu.edu/directory/semte/aerospace-and-mechanical-engineering/" TargetMode="External" Id="rId187"/><Relationship Type="http://schemas.openxmlformats.org/officeDocument/2006/relationships/hyperlink" Target="https://search.asu.edu/profile/wkang16" TargetMode="External" Id="rId188"/><Relationship Type="http://schemas.openxmlformats.org/officeDocument/2006/relationships/hyperlink" Target="https://scholar.google.com/citations?hl=en&amp;user=bHyyOTAAAAAJ" TargetMode="External" Id="rId189"/><Relationship Type="http://schemas.openxmlformats.org/officeDocument/2006/relationships/hyperlink" Target="mailto:Wonmo.Kang@asu.edu" TargetMode="External" Id="rId190"/><Relationship Type="http://schemas.openxmlformats.org/officeDocument/2006/relationships/hyperlink" Target="https://wonmokang3.wixsite.com/website" TargetMode="External" Id="rId191"/><Relationship Type="http://schemas.openxmlformats.org/officeDocument/2006/relationships/hyperlink" Target="https://faculty.engineering.asu.edu/directory/semte/aerospace-and-mechanical-engineering/" TargetMode="External" Id="rId192"/><Relationship Type="http://schemas.openxmlformats.org/officeDocument/2006/relationships/hyperlink" Target="https://search.asu.edu/profile/yren32" TargetMode="External" Id="rId193"/><Relationship Type="http://schemas.openxmlformats.org/officeDocument/2006/relationships/hyperlink" Target="https://scholar.google.com/citations?view_op=search_authors&amp;mauthors=Yi%20Ren%20Arizona%20State%20University" TargetMode="External" Id="rId194"/><Relationship Type="http://schemas.openxmlformats.org/officeDocument/2006/relationships/hyperlink" Target="mailto:yiren@asu.edu" TargetMode="External" Id="rId195"/><Relationship Type="http://schemas.openxmlformats.org/officeDocument/2006/relationships/hyperlink" Target="https://faculty.engineering.asu.edu/directory/semte/aerospace-and-mechanical-engineering/" TargetMode="External" Id="rId196"/></Relationships>
</file>

<file path=xl/worksheets/_rels/sheet2.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kasbaoui.bitbucket.io" TargetMode="External" Id="rId4"/><Relationship Type="http://schemas.openxmlformats.org/officeDocument/2006/relationships/hyperlink" Target="https://bitbucket.org/krgasu/leap/downloads/leap-v0.8.2.tar.gz" TargetMode="External" Id="rId5"/><Relationship Type="http://schemas.openxmlformats.org/officeDocument/2006/relationships/hyperlink" Target="https://faculty.engineering.asu.edu/directory/semte/aerospace-and-mechanical-engineering/" TargetMode="External" Id="rId6"/><Relationship Type="http://schemas.openxmlformats.org/officeDocument/2006/relationships/hyperlink" Target="https://search.asu.edu/profile/lwang78" TargetMode="External" Id="rId7"/><Relationship Type="http://schemas.openxmlformats.org/officeDocument/2006/relationships/hyperlink" Target="https://scholar.google.com/citations?view_op=search_authors&amp;mauthors=Liping%20Wang%20Arizona%20State%20University" TargetMode="External" Id="rId8"/><Relationship Type="http://schemas.openxmlformats.org/officeDocument/2006/relationships/hyperlink" Target="mailto:Liping.Wang@asu.edu" TargetMode="External" Id="rId9"/><Relationship Type="http://schemas.openxmlformats.org/officeDocument/2006/relationships/hyperlink" Target="http://faculty.engineering.asu.edu/lpwang" TargetMode="External" Id="rId10"/><Relationship Type="http://schemas.openxmlformats.org/officeDocument/2006/relationships/hyperlink" Target="https://faculty.engineering.asu.edu/directory/semte/aerospace-and-mechanical-engineering/" TargetMode="External" Id="rId11"/><Relationship Type="http://schemas.openxmlformats.org/officeDocument/2006/relationships/hyperlink" Target="https://search.asu.edu/profile/joswald1" TargetMode="External" Id="rId12"/><Relationship Type="http://schemas.openxmlformats.org/officeDocument/2006/relationships/hyperlink" Target="https://scholar.google.com/citations?view_op=search_authors&amp;mauthors=Jay%20Oswald%20Arizona%20State%20University" TargetMode="External" Id="rId13"/><Relationship Type="http://schemas.openxmlformats.org/officeDocument/2006/relationships/hyperlink" Target="mailto:joswald1@asu.edu" TargetMode="External" Id="rId14"/><Relationship Type="http://schemas.openxmlformats.org/officeDocument/2006/relationships/hyperlink" Target="http://sparky.fulton.asu.edu/oswald/"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https://search.asu.edu/profile/jsun165" TargetMode="External" Id="rId17"/><Relationship Type="http://schemas.openxmlformats.org/officeDocument/2006/relationships/hyperlink" Target="https://scholar.google.com/citations?hl=en&amp;user=fjUoHOsAAAAJ" TargetMode="External" Id="rId18"/><Relationship Type="http://schemas.openxmlformats.org/officeDocument/2006/relationships/hyperlink" Target="mailto:Jiefeng.Sun@asu.edu" TargetMode="External" Id="rId19"/><Relationship Type="http://schemas.openxmlformats.org/officeDocument/2006/relationships/hyperlink" Target="https://sunroboticslab.github.io" TargetMode="External" Id="rId20"/><Relationship Type="http://schemas.openxmlformats.org/officeDocument/2006/relationships/hyperlink" Target="https://faculty.engineering.asu.edu/directory/semte/aerospace-and-mechanical-engineering/" TargetMode="External" Id="rId21"/><Relationship Type="http://schemas.openxmlformats.org/officeDocument/2006/relationships/hyperlink" Target="https://search.asu.edu/profile/asuchen" TargetMode="External" Id="rId22"/><Relationship Type="http://schemas.openxmlformats.org/officeDocument/2006/relationships/hyperlink" Target="https://scholar.google.com/citations?hl=en&amp;user=xT-lX9sAAAAJ" TargetMode="External" Id="rId23"/><Relationship Type="http://schemas.openxmlformats.org/officeDocument/2006/relationships/hyperlink" Target="mailto:k.p.chen@asu.edu" TargetMode="External" Id="rId24"/><Relationship Type="http://schemas.openxmlformats.org/officeDocument/2006/relationships/hyperlink" Target="https://faculty.engineering.asu.edu/directory/semte/aerospace-and-mechanical-engineering/" TargetMode="External" Id="rId25"/><Relationship Type="http://schemas.openxmlformats.org/officeDocument/2006/relationships/hyperlink" Target="https://search.asu.edu/profile/kramesh2" TargetMode="External" Id="rId26"/><Relationship Type="http://schemas.openxmlformats.org/officeDocument/2006/relationships/hyperlink" Target="https://scholar.google.com/citations?hl=en&amp;user=DKc-AgcAAAAJ" TargetMode="External" Id="rId27"/><Relationship Type="http://schemas.openxmlformats.org/officeDocument/2006/relationships/hyperlink" Target="mailto:Kiran.Ramesh@asu.edu" TargetMode="External" Id="rId28"/><Relationship Type="http://schemas.openxmlformats.org/officeDocument/2006/relationships/hyperlink" Target="https://faculty.engineering.asu.edu/directory/semte/aerospace-and-mechanical-engineering/" TargetMode="External" Id="rId29"/><Relationship Type="http://schemas.openxmlformats.org/officeDocument/2006/relationships/hyperlink" Target="https://search.asu.edu/profile/kgarg24" TargetMode="External" Id="rId30"/><Relationship Type="http://schemas.openxmlformats.org/officeDocument/2006/relationships/hyperlink" Target="https://scholar.google.com/citations?hl=en&amp;user=vs3pl-8AAAAJ" TargetMode="External" Id="rId31"/><Relationship Type="http://schemas.openxmlformats.org/officeDocument/2006/relationships/hyperlink" Target="mailto:kgarg24@asu.edu" TargetMode="External" Id="rId32"/><Relationship Type="http://schemas.openxmlformats.org/officeDocument/2006/relationships/hyperlink" Target="https://sites.google.com/asu.edu/kunalgarg/" TargetMode="External" Id="rId33"/><Relationship Type="http://schemas.openxmlformats.org/officeDocument/2006/relationships/hyperlink" Target="https://faculty.engineering.asu.edu/directory/semte/aerospace-and-mechanical-engineering/" TargetMode="External" Id="rId34"/><Relationship Type="http://schemas.openxmlformats.org/officeDocument/2006/relationships/hyperlink" Target="https://search.asu.edu/profile/leixinma" TargetMode="External" Id="rId35"/><Relationship Type="http://schemas.openxmlformats.org/officeDocument/2006/relationships/hyperlink" Target="https://scholar.google.com/citations?hl=en&amp;user=2xQTOc0AAAAJ" TargetMode="External" Id="rId36"/><Relationship Type="http://schemas.openxmlformats.org/officeDocument/2006/relationships/hyperlink" Target="mailto:Leixin.Ma@asu.edu" TargetMode="External" Id="rId37"/><Relationship Type="http://schemas.openxmlformats.org/officeDocument/2006/relationships/hyperlink" Target="https://sites.google.com/view/oasislabasu"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https://search.asu.edu/profile/gpathiko" TargetMode="External" Id="rId40"/><Relationship Type="http://schemas.openxmlformats.org/officeDocument/2006/relationships/hyperlink" Target="https://scholar.google.com/citations?view_op=search_authors&amp;mauthors=Gokul%20Pathikonda%20Arizona%20State%20University" TargetMode="External" Id="rId41"/><Relationship Type="http://schemas.openxmlformats.org/officeDocument/2006/relationships/hyperlink" Target="mailto:Gokul.Pathikonda@asu.edu" TargetMode="External" Id="rId42"/><Relationship Type="http://schemas.openxmlformats.org/officeDocument/2006/relationships/hyperlink" Target="https://faculty.engineering.asu.edu/cmat/" TargetMode="External" Id="rId43"/><Relationship Type="http://schemas.openxmlformats.org/officeDocument/2006/relationships/hyperlink" Target="https://faculty.engineering.asu.edu/directory/semte/aerospace-and-mechanical-engineering/" TargetMode="External" Id="rId44"/><Relationship Type="http://schemas.openxmlformats.org/officeDocument/2006/relationships/hyperlink" Target="https://search.asu.edu/profile/mherrma1" TargetMode="External" Id="rId45"/><Relationship Type="http://schemas.openxmlformats.org/officeDocument/2006/relationships/hyperlink" Target="https://scholar.google.com/citations?hl=en&amp;user=yv6aCW8AAAAJ" TargetMode="External" Id="rId46"/><Relationship Type="http://schemas.openxmlformats.org/officeDocument/2006/relationships/hyperlink" Target="mailto:Marcus.Herrmann@asu.edu" TargetMode="External" Id="rId47"/><Relationship Type="http://schemas.openxmlformats.org/officeDocument/2006/relationships/hyperlink" Target="https://faculty.engineering.asu.edu/directory/semte/aerospace-and-mechanical-engineering/" TargetMode="External" Id="rId48"/><Relationship Type="http://schemas.openxmlformats.org/officeDocument/2006/relationships/hyperlink" Target="https://search.asu.edu/profile/smberma2" TargetMode="External" Id="rId49"/><Relationship Type="http://schemas.openxmlformats.org/officeDocument/2006/relationships/hyperlink" Target="https://scholar.google.com/citations?hl=en&amp;user=KKup0OgAAAAJ" TargetMode="External" Id="rId50"/><Relationship Type="http://schemas.openxmlformats.org/officeDocument/2006/relationships/hyperlink" Target="mailto:Spring.Berman@asu.edu" TargetMode="External" Id="rId51"/><Relationship Type="http://schemas.openxmlformats.org/officeDocument/2006/relationships/hyperlink" Target="http://faculty.engineering.asu.edu/acs/" TargetMode="External" Id="rId52"/><Relationship Type="http://schemas.openxmlformats.org/officeDocument/2006/relationships/hyperlink" Target="https://faculty.engineering.asu.edu/directory/semte/aerospace-and-mechanical-engineering/" TargetMode="External" Id="rId53"/><Relationship Type="http://schemas.openxmlformats.org/officeDocument/2006/relationships/hyperlink" Target="https://search.asu.edu/profile/xzhe1" TargetMode="External" Id="rId54"/><Relationship Type="http://schemas.openxmlformats.org/officeDocument/2006/relationships/hyperlink" Target="https://scholar.google.com/citations?view_op=search_authors&amp;mauthors=Zhe%20Xu%20Arizona%20State%20University" TargetMode="External" Id="rId55"/><Relationship Type="http://schemas.openxmlformats.org/officeDocument/2006/relationships/hyperlink" Target="mailto:xzhe1@asu.edu" TargetMode="External" Id="rId56"/><Relationship Type="http://schemas.openxmlformats.org/officeDocument/2006/relationships/hyperlink" Target="https://sites.google.com/site/zhexudavid00710/research?authuser=0" TargetMode="External" Id="rId57"/><Relationship Type="http://schemas.openxmlformats.org/officeDocument/2006/relationships/hyperlink" Target="https://faculty.engineering.asu.edu/directory/semte/aerospace-and-mechanical-engineering/" TargetMode="External" Id="rId58"/><Relationship Type="http://schemas.openxmlformats.org/officeDocument/2006/relationships/hyperlink" Target="https://search.asu.edu/profile/jkim520" TargetMode="External" Id="rId59"/><Relationship Type="http://schemas.openxmlformats.org/officeDocument/2006/relationships/hyperlink" Target="https://scholar.google.com/citations?view_op=search_authors&amp;mauthors=Jeonglae%20Kim%20Arizona%20State%20University" TargetMode="External" Id="rId60"/><Relationship Type="http://schemas.openxmlformats.org/officeDocument/2006/relationships/hyperlink" Target="mailto:jeokim@asu.edu" TargetMode="External" Id="rId61"/><Relationship Type="http://schemas.openxmlformats.org/officeDocument/2006/relationships/hyperlink" Target="https://faculty.engineering.asu.edu/directory/semte/aerospace-and-mechanical-engineering/" TargetMode="External" Id="rId62"/><Relationship Type="http://schemas.openxmlformats.org/officeDocument/2006/relationships/hyperlink" Target="https://search.asu.edu/profile/mpeet" TargetMode="External" Id="rId63"/><Relationship Type="http://schemas.openxmlformats.org/officeDocument/2006/relationships/hyperlink" Target="https://scholar.google.com/citations?hl=en&amp;user=l7umOqMAAAAJ" TargetMode="External" Id="rId64"/><Relationship Type="http://schemas.openxmlformats.org/officeDocument/2006/relationships/hyperlink" Target="mailto:mpeet@asu.edu" TargetMode="External" Id="rId65"/><Relationship Type="http://schemas.openxmlformats.org/officeDocument/2006/relationships/hyperlink" Target="http://control.asu.edu/" TargetMode="External" Id="rId66"/><Relationship Type="http://schemas.openxmlformats.org/officeDocument/2006/relationships/hyperlink" Target="https://faculty.engineering.asu.edu/directory/semte/aerospace-and-mechanical-engineering/" TargetMode="External" Id="rId67"/><Relationship Type="http://schemas.openxmlformats.org/officeDocument/2006/relationships/hyperlink" Target="https://search.asu.edu/profile/rywang" TargetMode="External" Id="rId68"/><Relationship Type="http://schemas.openxmlformats.org/officeDocument/2006/relationships/hyperlink" Target="https://scholar.google.com/citations?hl=en&amp;user=LaUdx9gAAAAJ" TargetMode="External" Id="rId69"/><Relationship Type="http://schemas.openxmlformats.org/officeDocument/2006/relationships/hyperlink" Target="mailto:rywang@asu.edu" TargetMode="External" Id="rId70"/><Relationship Type="http://schemas.openxmlformats.org/officeDocument/2006/relationships/hyperlink" Target="http://wang.faculty.asu.edu/" TargetMode="External" Id="rId71"/><Relationship Type="http://schemas.openxmlformats.org/officeDocument/2006/relationships/hyperlink" Target="https://faculty.engineering.asu.edu/directory/semte/aerospace-and-mechanical-engineering/" TargetMode="External" Id="rId72"/><Relationship Type="http://schemas.openxmlformats.org/officeDocument/2006/relationships/hyperlink" Target="https://search.asu.edu/profile/rjmilcar" TargetMode="External" Id="rId73"/><Relationship Type="http://schemas.openxmlformats.org/officeDocument/2006/relationships/hyperlink" Target="https://scholar.google.com/citations?hl=en&amp;user=m-Pb6g2pm2UC" TargetMode="External" Id="rId74"/><Relationship Type="http://schemas.openxmlformats.org/officeDocument/2006/relationships/hyperlink" Target="mailto:Ryan.Milcarek@asu.edu" TargetMode="External" Id="rId75"/><Relationship Type="http://schemas.openxmlformats.org/officeDocument/2006/relationships/hyperlink" Target="http://RESEARCHGATE.net/profile/Ryan_Milcarek" TargetMode="External" Id="rId76"/><Relationship Type="http://schemas.openxmlformats.org/officeDocument/2006/relationships/hyperlink" Target="https://faculty.engineering.asu.edu/directory/semte/aerospace-and-mechanical-engineering/" TargetMode="External" Id="rId77"/><Relationship Type="http://schemas.openxmlformats.org/officeDocument/2006/relationships/hyperlink" Target="https://search.asu.edu/profile/attwl" TargetMode="External" Id="rId78"/><Relationship Type="http://schemas.openxmlformats.org/officeDocument/2006/relationships/hyperlink" Target="https://scholar.google.com/citations?view_op=search_authors&amp;mauthors=T.-W.%20Lee%20Arizona%20State%20University" TargetMode="External" Id="rId79"/><Relationship Type="http://schemas.openxmlformats.org/officeDocument/2006/relationships/hyperlink" Target="mailto:ATTWL@asu.edu" TargetMode="External" Id="rId80"/><Relationship Type="http://schemas.openxmlformats.org/officeDocument/2006/relationships/hyperlink" Target="https://faculty.engineering.asu.edu/directory/semte/aerospace-and-mechanical-engineering/" TargetMode="External" Id="rId81"/><Relationship Type="http://schemas.openxmlformats.org/officeDocument/2006/relationships/hyperlink" Target="https://search.asu.edu/profile/tyang123" TargetMode="External" Id="rId82"/><Relationship Type="http://schemas.openxmlformats.org/officeDocument/2006/relationships/hyperlink" Target="https://scholar.google.com/citations?hl=en&amp;user=OmBV67MAAAAJ" TargetMode="External" Id="rId83"/><Relationship Type="http://schemas.openxmlformats.org/officeDocument/2006/relationships/hyperlink" Target="mailto:Tianyu.Yang@asu.edu" TargetMode="External" Id="rId84"/><Relationship Type="http://schemas.openxmlformats.org/officeDocument/2006/relationships/hyperlink" Target="https://faculty.engineering.asu.edu/directory/semte/aerospace-and-mechanical-engineering/" TargetMode="External" Id="rId85"/><Relationship Type="http://schemas.openxmlformats.org/officeDocument/2006/relationships/hyperlink" Target="https://search.asu.edu/profile/chattopa" TargetMode="External" Id="rId86"/><Relationship Type="http://schemas.openxmlformats.org/officeDocument/2006/relationships/hyperlink" Target="https://scholar.google.com/citations?hl=en&amp;user=w3fU9E0AAAAJ" TargetMode="External" Id="rId87"/><Relationship Type="http://schemas.openxmlformats.org/officeDocument/2006/relationships/hyperlink" Target="mailto:aditi@asu.edu" TargetMode="External" Id="rId88"/><Relationship Type="http://schemas.openxmlformats.org/officeDocument/2006/relationships/hyperlink" Target="https://faculty.engineering.asu.edu/directory/semte/aerospace-and-mechanical-engineering/" TargetMode="External" Id="rId89"/><Relationship Type="http://schemas.openxmlformats.org/officeDocument/2006/relationships/hyperlink" Target="https://search.asu.edu/profile/adscotti" TargetMode="External" Id="rId90"/><Relationship Type="http://schemas.openxmlformats.org/officeDocument/2006/relationships/hyperlink" Target="https://scholar.google.com/citations?hl=en&amp;user=HRx2lJQAAAAJ" TargetMode="External" Id="rId91"/><Relationship Type="http://schemas.openxmlformats.org/officeDocument/2006/relationships/hyperlink" Target="mailto:Alberto.Scotti@asu.edu" TargetMode="External" Id="rId92"/><Relationship Type="http://schemas.openxmlformats.org/officeDocument/2006/relationships/hyperlink" Target="https://faculty.engineering.asu.edu/directory/semte/aerospace-and-mechanical-engineering/" TargetMode="External" Id="rId93"/><Relationship Type="http://schemas.openxmlformats.org/officeDocument/2006/relationships/hyperlink" Target="https://search.asu.edu/profile/bkwon2" TargetMode="External" Id="rId94"/><Relationship Type="http://schemas.openxmlformats.org/officeDocument/2006/relationships/hyperlink" Target="https://scholar.google.com/citations?hl=en&amp;user=fs2d97sAAAAJ" TargetMode="External" Id="rId95"/><Relationship Type="http://schemas.openxmlformats.org/officeDocument/2006/relationships/hyperlink" Target="mailto:kwon@asu.edu" TargetMode="External" Id="rId96"/><Relationship Type="http://schemas.openxmlformats.org/officeDocument/2006/relationships/hyperlink" Target="http://sites.google.com/view/3denergy" TargetMode="External" Id="rId97"/><Relationship Type="http://schemas.openxmlformats.org/officeDocument/2006/relationships/hyperlink" Target="https://faculty.engineering.asu.edu/directory/semte/aerospace-and-mechanical-engineering/" TargetMode="External" Id="rId98"/><Relationship Type="http://schemas.openxmlformats.org/officeDocument/2006/relationships/hyperlink" Target="https://search.asu.edu/profile/hmarvi" TargetMode="External" Id="rId99"/><Relationship Type="http://schemas.openxmlformats.org/officeDocument/2006/relationships/hyperlink" Target="https://scholar.google.com/citations?hl=en&amp;user=00Fepb0AAAAJ" TargetMode="External" Id="rId100"/><Relationship Type="http://schemas.openxmlformats.org/officeDocument/2006/relationships/hyperlink" Target="mailto:hmarvi@asu.edu" TargetMode="External" Id="rId101"/><Relationship Type="http://schemas.openxmlformats.org/officeDocument/2006/relationships/hyperlink" Target="http://birth.asu.edu" TargetMode="External" Id="rId102"/><Relationship Type="http://schemas.openxmlformats.org/officeDocument/2006/relationships/hyperlink" Target="https://faculty.engineering.asu.edu/directory/semte/aerospace-and-mechanical-engineering/" TargetMode="External" Id="rId103"/><Relationship Type="http://schemas.openxmlformats.org/officeDocument/2006/relationships/hyperlink" Target="https://search.asu.edu/profile/hlee234" TargetMode="External" Id="rId104"/><Relationship Type="http://schemas.openxmlformats.org/officeDocument/2006/relationships/hyperlink" Target="https://scholar.google.com/citations?view_op=search_authors&amp;mauthors=Hyunglae%20Lee%20Arizona%20State%20University" TargetMode="External" Id="rId105"/><Relationship Type="http://schemas.openxmlformats.org/officeDocument/2006/relationships/hyperlink" Target="mailto:Hyunglae.Lee@asu.edu" TargetMode="External" Id="rId106"/><Relationship Type="http://schemas.openxmlformats.org/officeDocument/2006/relationships/hyperlink" Target="https://faculty.engineering.asu.edu/hlee" TargetMode="External" Id="rId107"/><Relationship Type="http://schemas.openxmlformats.org/officeDocument/2006/relationships/hyperlink" Target="https://faculty.engineering.asu.edu/directory/semte/aerospace-and-mechanical-engineering/" TargetMode="External" Id="rId108"/><Relationship Type="http://schemas.openxmlformats.org/officeDocument/2006/relationships/hyperlink" Target="https://search.asu.edu/profile/ljannesa" TargetMode="External" Id="rId109"/><Relationship Type="http://schemas.openxmlformats.org/officeDocument/2006/relationships/hyperlink" Target="https://scholar.google.com/citations?view_op=search_authors&amp;mauthors=Leila%20Ladani%20Arizona%20State%20University" TargetMode="External" Id="rId110"/><Relationship Type="http://schemas.openxmlformats.org/officeDocument/2006/relationships/hyperlink" Target="mailto:ladani@asu.edu" TargetMode="External" Id="rId111"/><Relationship Type="http://schemas.openxmlformats.org/officeDocument/2006/relationships/hyperlink" Target="https://magic.asu.edu/" TargetMode="External" Id="rId112"/><Relationship Type="http://schemas.openxmlformats.org/officeDocument/2006/relationships/hyperlink" Target="https://faculty.engineering.asu.edu/directory/semte/aerospace-and-mechanical-engineering/" TargetMode="External" Id="rId113"/><Relationship Type="http://schemas.openxmlformats.org/officeDocument/2006/relationships/hyperlink" Target="https://search.asu.edu/profile/pphelan" TargetMode="External" Id="rId114"/><Relationship Type="http://schemas.openxmlformats.org/officeDocument/2006/relationships/hyperlink" Target="https://scholar.google.com/citations?view_op=search_authors&amp;mauthors=Patrick%20Phelan%20Arizona%20State%20University" TargetMode="External" Id="rId115"/><Relationship Type="http://schemas.openxmlformats.org/officeDocument/2006/relationships/hyperlink" Target="mailto:phelan@asu.edu" TargetMode="External" Id="rId116"/><Relationship Type="http://schemas.openxmlformats.org/officeDocument/2006/relationships/hyperlink" Target="https://faculty.engineering.asu.edu/directory/semte/aerospace-and-mechanical-engineering/" TargetMode="External" Id="rId117"/><Relationship Type="http://schemas.openxmlformats.org/officeDocument/2006/relationships/hyperlink" Target="https://search.asu.edu/profile/ypeet" TargetMode="External" Id="rId118"/><Relationship Type="http://schemas.openxmlformats.org/officeDocument/2006/relationships/hyperlink" Target="https://scholar.google.com/citations?hl=en&amp;user=_6o8MrUAAAAJ" TargetMode="External" Id="rId119"/><Relationship Type="http://schemas.openxmlformats.org/officeDocument/2006/relationships/hyperlink" Target="mailto:ypeet@asu.edu" TargetMode="External" Id="rId120"/><Relationship Type="http://schemas.openxmlformats.org/officeDocument/2006/relationships/hyperlink" Target="https://isim.asu.edu" TargetMode="External" Id="rId121"/><Relationship Type="http://schemas.openxmlformats.org/officeDocument/2006/relationships/hyperlink" Target="https://faculty.engineering.asu.edu/directory/semte/aerospace-and-mechanical-engineering/" TargetMode="External" Id="rId122"/><Relationship Type="http://schemas.openxmlformats.org/officeDocument/2006/relationships/hyperlink" Target="https://search.asu.edu/profile/hzhuang7" TargetMode="External" Id="rId123"/><Relationship Type="http://schemas.openxmlformats.org/officeDocument/2006/relationships/hyperlink" Target="https://scholar.google.com/citations?hl=en&amp;user=4yYKCpUAAAAJ" TargetMode="External" Id="rId124"/><Relationship Type="http://schemas.openxmlformats.org/officeDocument/2006/relationships/hyperlink" Target="mailto:zhuanghl@asu.edu" TargetMode="External" Id="rId125"/><Relationship Type="http://schemas.openxmlformats.org/officeDocument/2006/relationships/hyperlink" Target="https://faculty.engineering.asu.edu/directory/semte/aerospace-and-mechanical-engineering/" TargetMode="External" Id="rId126"/><Relationship Type="http://schemas.openxmlformats.org/officeDocument/2006/relationships/hyperlink" Target="https://search.asu.edu/profile/hhuang38" TargetMode="External" Id="rId127"/><Relationship Type="http://schemas.openxmlformats.org/officeDocument/2006/relationships/hyperlink" Target="https://scholar.google.com/citations?view_op=search_authors&amp;mauthors=Huei-Ping%20Huang%20Arizona%20State%20University" TargetMode="External" Id="rId128"/><Relationship Type="http://schemas.openxmlformats.org/officeDocument/2006/relationships/hyperlink" Target="mailto:Huei-Ping.Huang@asu.edu" TargetMode="External" Id="rId129"/><Relationship Type="http://schemas.openxmlformats.org/officeDocument/2006/relationships/hyperlink" Target="http://www.public.asu.edu/~hhuang38" TargetMode="External" Id="rId130"/><Relationship Type="http://schemas.openxmlformats.org/officeDocument/2006/relationships/hyperlink" Target="https://faculty.engineering.asu.edu/directory/semte/aerospace-and-mechanical-engineering/" TargetMode="External" Id="rId131"/><Relationship Type="http://schemas.openxmlformats.org/officeDocument/2006/relationships/hyperlink" Target="https://search.asu.edu/profile/jrajago1" TargetMode="External" Id="rId132"/><Relationship Type="http://schemas.openxmlformats.org/officeDocument/2006/relationships/hyperlink" Target="https://scholar.google.com/citations?hl=en&amp;user=ClqRIhIAAAAJ" TargetMode="External" Id="rId133"/><Relationship Type="http://schemas.openxmlformats.org/officeDocument/2006/relationships/hyperlink" Target="mailto:Jagannathan.Rajagopalan@asu.edu" TargetMode="External" Id="rId134"/><Relationship Type="http://schemas.openxmlformats.org/officeDocument/2006/relationships/hyperlink" Target="http://faculty.engineering.asu.edu/jagan/" TargetMode="External" Id="rId135"/><Relationship Type="http://schemas.openxmlformats.org/officeDocument/2006/relationships/hyperlink" Target="https://faculty.engineering.asu.edu/directory/semte/aerospace-and-mechanical-engineering/" TargetMode="External" Id="rId136"/><Relationship Type="http://schemas.openxmlformats.org/officeDocument/2006/relationships/hyperlink" Target="https://search.asu.edu/profile/krykacze" TargetMode="External" Id="rId137"/><Relationship Type="http://schemas.openxmlformats.org/officeDocument/2006/relationships/hyperlink" Target="https://scholar.google.com/citations?hl=en&amp;user=SWeAf4UAAAAJ" TargetMode="External" Id="rId138"/><Relationship Type="http://schemas.openxmlformats.org/officeDocument/2006/relationships/hyperlink" Target="mailto:konradr@asu.edu" TargetMode="External" Id="rId139"/><Relationship Type="http://schemas.openxmlformats.org/officeDocument/2006/relationships/hyperlink" Target="http://faculty.engineering.asu.edu/konrad/" TargetMode="External" Id="rId140"/><Relationship Type="http://schemas.openxmlformats.org/officeDocument/2006/relationships/hyperlink" Target="https://faculty.engineering.asu.edu/directory/semte/aerospace-and-mechanical-engineering/" TargetMode="External" Id="rId141"/><Relationship Type="http://schemas.openxmlformats.org/officeDocument/2006/relationships/hyperlink" Target="https://search.asu.edu/profile/mingleiq" TargetMode="External" Id="rId142"/><Relationship Type="http://schemas.openxmlformats.org/officeDocument/2006/relationships/hyperlink" Target="https://scholar.google.com/citations?hl=en&amp;user=9LWNC50AAAAJ" TargetMode="External" Id="rId143"/><Relationship Type="http://schemas.openxmlformats.org/officeDocument/2006/relationships/hyperlink" Target="mailto:minglei.qu@asu.edu" TargetMode="External" Id="rId144"/><Relationship Type="http://schemas.openxmlformats.org/officeDocument/2006/relationships/hyperlink" Target="https://faculty.engineering.asu.edu/directory/semte/aerospace-and-mechanical-engineering/" TargetMode="External" Id="rId145"/><Relationship Type="http://schemas.openxmlformats.org/officeDocument/2006/relationships/hyperlink" Target="https://search.asu.edu/profile/qnian" TargetMode="External" Id="rId146"/><Relationship Type="http://schemas.openxmlformats.org/officeDocument/2006/relationships/hyperlink" Target="https://scholar.google.com/citations?view_op=search_authors&amp;mauthors=Qiong%20Nian%20Arizona%20State%20University" TargetMode="External" Id="rId147"/><Relationship Type="http://schemas.openxmlformats.org/officeDocument/2006/relationships/hyperlink" Target="mailto:Qiong.Nian@asu.edu" TargetMode="External" Id="rId148"/><Relationship Type="http://schemas.openxmlformats.org/officeDocument/2006/relationships/hyperlink" Target="https://mmmplab.engineering.asu.edu/" TargetMode="External" Id="rId149"/><Relationship Type="http://schemas.openxmlformats.org/officeDocument/2006/relationships/hyperlink" Target="https://faculty.engineering.asu.edu/directory/semte/aerospace-and-mechanical-engineering/" TargetMode="External" Id="rId150"/><Relationship Type="http://schemas.openxmlformats.org/officeDocument/2006/relationships/hyperlink" Target="https://search.asu.edu/profile/rcalhou" TargetMode="External" Id="rId151"/><Relationship Type="http://schemas.openxmlformats.org/officeDocument/2006/relationships/hyperlink" Target="https://scholar.google.com/citations?view_op=search_authors&amp;mauthors=Ronald%20Calhoun%20Arizona%20State%20University" TargetMode="External" Id="rId152"/><Relationship Type="http://schemas.openxmlformats.org/officeDocument/2006/relationships/hyperlink" Target="mailto:Ronald.Calhoun@asu.edu" TargetMode="External" Id="rId153"/><Relationship Type="http://schemas.openxmlformats.org/officeDocument/2006/relationships/hyperlink" Target="https://windlab.engineering.asu.edu/ronald-calhoun/" TargetMode="External" Id="rId154"/><Relationship Type="http://schemas.openxmlformats.org/officeDocument/2006/relationships/hyperlink" Target="https://faculty.engineering.asu.edu/directory/semte/aerospace-and-mechanical-engineering/" TargetMode="External" Id="rId155"/><Relationship Type="http://schemas.openxmlformats.org/officeDocument/2006/relationships/hyperlink" Target="https://search.asu.edu/profile/wjin34" TargetMode="External" Id="rId156"/><Relationship Type="http://schemas.openxmlformats.org/officeDocument/2006/relationships/hyperlink" Target="https://scholar.google.com/citations?hl=en&amp;user=SoEC4h4AAAAJ" TargetMode="External" Id="rId157"/><Relationship Type="http://schemas.openxmlformats.org/officeDocument/2006/relationships/hyperlink" Target="mailto:wjin@asu.edu" TargetMode="External" Id="rId158"/><Relationship Type="http://schemas.openxmlformats.org/officeDocument/2006/relationships/hyperlink" Target="https://irislab.tech/" TargetMode="External" Id="rId159"/><Relationship Type="http://schemas.openxmlformats.org/officeDocument/2006/relationships/hyperlink" Target="https://github.com/asu-iris" TargetMode="External" Id="rId160"/><Relationship Type="http://schemas.openxmlformats.org/officeDocument/2006/relationships/hyperlink" Target="https://faculty.engineering.asu.edu/directory/semte/aerospace-and-mechanical-engineering/" TargetMode="External" Id="rId161"/><Relationship Type="http://schemas.openxmlformats.org/officeDocument/2006/relationships/hyperlink" Target="https://search.asu.edu/profile/yliu35" TargetMode="External" Id="rId162"/><Relationship Type="http://schemas.openxmlformats.org/officeDocument/2006/relationships/hyperlink" Target="https://scholar.google.com/citations?view_op=search_authors&amp;mauthors=Yongming%20Liu%20Arizona%20State%20University" TargetMode="External" Id="rId163"/><Relationship Type="http://schemas.openxmlformats.org/officeDocument/2006/relationships/hyperlink" Target="mailto:Yongming.Liu@asu.edu" TargetMode="External" Id="rId164"/><Relationship Type="http://schemas.openxmlformats.org/officeDocument/2006/relationships/hyperlink" Target="https://faculty.engineering.asu.edu/directory/semte/aerospace-and-mechanical-engineering/" TargetMode="External" Id="rId165"/><Relationship Type="http://schemas.openxmlformats.org/officeDocument/2006/relationships/hyperlink" Target="https://search.asu.edu/profile/xiangji5" TargetMode="External" Id="rId166"/><Relationship Type="http://schemas.openxmlformats.org/officeDocument/2006/relationships/hyperlink" Target="https://scholar.google.com/citations?hl=en&amp;user=tGQzHJIAAAAJ" TargetMode="External" Id="rId167"/><Relationship Type="http://schemas.openxmlformats.org/officeDocument/2006/relationships/hyperlink" Target="mailto:xiangjia.li@asu.edu" TargetMode="External" Id="rId168"/><Relationship Type="http://schemas.openxmlformats.org/officeDocument/2006/relationships/hyperlink" Target="https://www.cindyxjli.com/" TargetMode="External" Id="rId169"/><Relationship Type="http://schemas.openxmlformats.org/officeDocument/2006/relationships/hyperlink" Target="https://faculty.engineering.asu.edu/directory/semte/aerospace-and-mechanical-engineering/" TargetMode="External" Id="rId170"/><Relationship Type="http://schemas.openxmlformats.org/officeDocument/2006/relationships/hyperlink" Target="https://search.asu.edu/profile/jimbo" TargetMode="External" Id="rId171"/><Relationship Type="http://schemas.openxmlformats.org/officeDocument/2006/relationships/hyperlink" Target="https://scholar.google.com/citations?view_op=search_authors&amp;mauthors=James%20Middleton%20Arizona%20State%20University" TargetMode="External" Id="rId172"/><Relationship Type="http://schemas.openxmlformats.org/officeDocument/2006/relationships/hyperlink" Target="mailto:jimbo@asu.edu" TargetMode="External" Id="rId173"/><Relationship Type="http://schemas.openxmlformats.org/officeDocument/2006/relationships/hyperlink" Target="https://faculty.engineering.asu.edu/directory/semte/aerospace-and-mechanical-engineering/" TargetMode="External" Id="rId174"/><Relationship Type="http://schemas.openxmlformats.org/officeDocument/2006/relationships/hyperlink" Target="https://search.asu.edu/profile/linli25" TargetMode="External" Id="rId175"/><Relationship Type="http://schemas.openxmlformats.org/officeDocument/2006/relationships/hyperlink" Target="https://scholar.google.com/citations?view_op=search_authors&amp;mauthors=Lin%20Li%20Arizona%20State%20University" TargetMode="External" Id="rId176"/><Relationship Type="http://schemas.openxmlformats.org/officeDocument/2006/relationships/hyperlink" Target="mailto:Lin.Li.10@asu.edu" TargetMode="External" Id="rId177"/><Relationship Type="http://schemas.openxmlformats.org/officeDocument/2006/relationships/hyperlink" Target="https://faculty.engineering.asu.edu/directory/semte/aerospace-and-mechanical-engineering/" TargetMode="External" Id="rId178"/><Relationship Type="http://schemas.openxmlformats.org/officeDocument/2006/relationships/hyperlink" Target="https://search.asu.edu/profile/marc03" TargetMode="External" Id="rId179"/><Relationship Type="http://schemas.openxmlformats.org/officeDocument/2006/relationships/hyperlink" Target="https://scholar.google.com/citations?view_op=search_authors&amp;mauthors=Marc%20Mignolet%20Arizona%20State%20University" TargetMode="External" Id="rId180"/><Relationship Type="http://schemas.openxmlformats.org/officeDocument/2006/relationships/hyperlink" Target="mailto:marc.mignolet@asu.edu" TargetMode="External" Id="rId181"/><Relationship Type="http://schemas.openxmlformats.org/officeDocument/2006/relationships/hyperlink" Target="https://faculty.engineering.asu.edu/directory/semte/aerospace-and-mechanical-engineering/" TargetMode="External" Id="rId182"/><Relationship Type="http://schemas.openxmlformats.org/officeDocument/2006/relationships/hyperlink" Target="https://search.asu.edu/profile/pperalta" TargetMode="External" Id="rId183"/><Relationship Type="http://schemas.openxmlformats.org/officeDocument/2006/relationships/hyperlink" Target="https://scholar.google.com/citations?view_op=search_authors&amp;mauthors=Pedro%20Peralta%20Arizona%20State%20University" TargetMode="External" Id="rId184"/><Relationship Type="http://schemas.openxmlformats.org/officeDocument/2006/relationships/hyperlink" Target="mailto:pperalta@asu.edu" TargetMode="External" Id="rId185"/><Relationship Type="http://schemas.openxmlformats.org/officeDocument/2006/relationships/hyperlink" Target="https://faculty.engineering.asu.edu/pperalta/" TargetMode="External" Id="rId186"/><Relationship Type="http://schemas.openxmlformats.org/officeDocument/2006/relationships/hyperlink" Target="https://faculty.engineering.asu.edu/directory/semte/aerospace-and-mechanical-engineering/" TargetMode="External" Id="rId187"/><Relationship Type="http://schemas.openxmlformats.org/officeDocument/2006/relationships/hyperlink" Target="https://search.asu.edu/profile/wkang16" TargetMode="External" Id="rId188"/><Relationship Type="http://schemas.openxmlformats.org/officeDocument/2006/relationships/hyperlink" Target="https://scholar.google.com/citations?hl=en&amp;user=bHyyOTAAAAAJ" TargetMode="External" Id="rId189"/><Relationship Type="http://schemas.openxmlformats.org/officeDocument/2006/relationships/hyperlink" Target="mailto:Wonmo.Kang@asu.edu" TargetMode="External" Id="rId190"/><Relationship Type="http://schemas.openxmlformats.org/officeDocument/2006/relationships/hyperlink" Target="https://wonmokang3.wixsite.com/website" TargetMode="External" Id="rId191"/><Relationship Type="http://schemas.openxmlformats.org/officeDocument/2006/relationships/hyperlink" Target="https://faculty.engineering.asu.edu/directory/semte/aerospace-and-mechanical-engineering/" TargetMode="External" Id="rId192"/><Relationship Type="http://schemas.openxmlformats.org/officeDocument/2006/relationships/hyperlink" Target="https://search.asu.edu/profile/yren32" TargetMode="External" Id="rId193"/><Relationship Type="http://schemas.openxmlformats.org/officeDocument/2006/relationships/hyperlink" Target="https://scholar.google.com/citations?view_op=search_authors&amp;mauthors=Yi%20Ren%20Arizona%20State%20University" TargetMode="External" Id="rId194"/><Relationship Type="http://schemas.openxmlformats.org/officeDocument/2006/relationships/hyperlink" Target="mailto:yiren@asu.edu" TargetMode="External" Id="rId195"/><Relationship Type="http://schemas.openxmlformats.org/officeDocument/2006/relationships/hyperlink" Target="https://faculty.engineering.asu.edu/directory/semte/aerospace-and-mechanical-engineering/" TargetMode="External" Id="rId196"/><Relationship Type="http://schemas.openxmlformats.org/officeDocument/2006/relationships/hyperlink" Target="https://search.asu.edu/profile/dspeaks2" TargetMode="External" Id="rId197"/><Relationship Type="http://schemas.openxmlformats.org/officeDocument/2006/relationships/hyperlink" Target="https://scholar.google.com/citations?view_op=search_authors&amp;mauthors=Derrick%20Speaks%20Arizona%20State%20University" TargetMode="External" Id="rId198"/><Relationship Type="http://schemas.openxmlformats.org/officeDocument/2006/relationships/hyperlink" Target="mailto:Derrick.Speaks@asu.edu" TargetMode="External" Id="rId199"/><Relationship Type="http://schemas.openxmlformats.org/officeDocument/2006/relationships/hyperlink" Target="https://faculty.engineering.asu.edu/directory/semte/aerospace-and-mechanical-engineering/" TargetMode="External" Id="rId200"/><Relationship Type="http://schemas.openxmlformats.org/officeDocument/2006/relationships/hyperlink" Target="https://search.asu.edu/profile/ejande22" TargetMode="External" Id="rId201"/><Relationship Type="http://schemas.openxmlformats.org/officeDocument/2006/relationships/hyperlink" Target="https://scholar.google.com/citations?view_op=search_authors&amp;mauthors=Erik%20Andersen%20Arizona%20State%20University" TargetMode="External" Id="rId202"/><Relationship Type="http://schemas.openxmlformats.org/officeDocument/2006/relationships/hyperlink" Target="mailto:Erik.J.Andersen@asu.edu" TargetMode="External" Id="rId203"/><Relationship Type="http://schemas.openxmlformats.org/officeDocument/2006/relationships/hyperlink" Target="https://faculty.engineering.asu.edu/directory/semte/aerospace-and-mechanical-engineering/" TargetMode="External" Id="rId204"/><Relationship Type="http://schemas.openxmlformats.org/officeDocument/2006/relationships/hyperlink" Target="https://search.asu.edu/profile/iychang" TargetMode="External" Id="rId205"/><Relationship Type="http://schemas.openxmlformats.org/officeDocument/2006/relationships/hyperlink" Target="https://scholar.google.com/citations?view_op=search_authors&amp;mauthors=Ivy%20Chang%20Arizona%20State%20University" TargetMode="External" Id="rId206"/><Relationship Type="http://schemas.openxmlformats.org/officeDocument/2006/relationships/hyperlink" Target="mailto:Ivy.Chang@asu.edu" TargetMode="External" Id="rId207"/><Relationship Type="http://schemas.openxmlformats.org/officeDocument/2006/relationships/hyperlink" Target="https://faculty.engineering.asu.edu/directory/semte/aerospace-and-mechanical-engineering/" TargetMode="External" Id="rId208"/><Relationship Type="http://schemas.openxmlformats.org/officeDocument/2006/relationships/hyperlink" Target="https://search.asu.edu/profile/jdwilbu1" TargetMode="External" Id="rId209"/><Relationship Type="http://schemas.openxmlformats.org/officeDocument/2006/relationships/hyperlink" Target="https://scholar.google.com/citations?view_op=search_authors&amp;mauthors=Joshua%20Wilbur%20Arizona%20State%20University" TargetMode="External" Id="rId210"/><Relationship Type="http://schemas.openxmlformats.org/officeDocument/2006/relationships/hyperlink" Target="mailto:Joshua.Wilbur@asu.edu" TargetMode="External" Id="rId211"/><Relationship Type="http://schemas.openxmlformats.org/officeDocument/2006/relationships/hyperlink" Target="https://faculty.engineering.asu.edu/directory/semte/aerospace-and-mechanical-engineering/" TargetMode="External" Id="rId212"/><Relationship Type="http://schemas.openxmlformats.org/officeDocument/2006/relationships/hyperlink" Target="https://search.asu.edu/profile/rcruzloz" TargetMode="External" Id="rId213"/><Relationship Type="http://schemas.openxmlformats.org/officeDocument/2006/relationships/hyperlink" Target="https://scholar.google.com/citations?view_op=search_authors&amp;mauthors=Ricardo%20Cruz%20Lozano%20Arizona%20State%20University" TargetMode="External" Id="rId214"/><Relationship Type="http://schemas.openxmlformats.org/officeDocument/2006/relationships/hyperlink" Target="mailto:Ricardo.Cruz.Lozano@asu.edu" TargetMode="External" Id="rId215"/><Relationship Type="http://schemas.openxmlformats.org/officeDocument/2006/relationships/hyperlink" Target="https://faculty.engineering.asu.edu/directory/semte/aerospace-and-mechanical-engineering/" TargetMode="External" Id="rId216"/><Relationship Type="http://schemas.openxmlformats.org/officeDocument/2006/relationships/hyperlink" Target="https://search.asu.edu/profile/skosara2" TargetMode="External" Id="rId217"/><Relationship Type="http://schemas.openxmlformats.org/officeDocument/2006/relationships/hyperlink" Target="https://scholar.google.com/citations?view_op=search_authors&amp;mauthors=Srinivas%20Chakravarthi%20Kosaraju%20Arizona%20State%20University" TargetMode="External" Id="rId218"/><Relationship Type="http://schemas.openxmlformats.org/officeDocument/2006/relationships/hyperlink" Target="mailto:Srinivas.Kosaraju@asu.edu" TargetMode="External" Id="rId219"/><Relationship Type="http://schemas.openxmlformats.org/officeDocument/2006/relationships/hyperlink" Target="https://faculty.engineering.asu.edu/directory/semte/aerospace-and-mechanical-engineering/" TargetMode="External" Id="rId220"/></Relationships>
</file>

<file path=xl/worksheets/sheet1.xml><?xml version="1.0" encoding="utf-8"?>
<worksheet xmlns="http://schemas.openxmlformats.org/spreadsheetml/2006/main">
  <sheetPr>
    <outlinePr summaryBelow="1" summaryRight="1"/>
    <pageSetUpPr/>
  </sheetPr>
  <dimension ref="A1:AF43"/>
  <sheetViews>
    <sheetView showGridLines="1" workbookViewId="0">
      <selection activeCell="A1" sqref="A1"/>
    </sheetView>
  </sheetViews>
  <sheetFormatPr baseColWidth="8" defaultRowHeight="15"/>
  <cols>
    <col width="28" customWidth="1" min="1" max="1"/>
    <col width="28" customWidth="1" min="2" max="2"/>
    <col width="49" customWidth="1" min="3" max="3"/>
    <col width="32" customWidth="1" min="4" max="4"/>
    <col width="23" customWidth="1" min="5" max="5"/>
    <col width="38" customWidth="1" min="6" max="6"/>
    <col width="16" customWidth="1" min="7" max="7"/>
    <col width="49" customWidth="1" min="8" max="8"/>
    <col width="17" customWidth="1" min="9" max="9"/>
    <col width="65" customWidth="1" min="10" max="10"/>
    <col width="65"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65" customWidth="1" min="20" max="20"/>
    <col width="65" customWidth="1" min="21" max="21"/>
    <col width="65" customWidth="1" min="22" max="22"/>
    <col width="49" customWidth="1" min="23" max="23"/>
    <col width="65" customWidth="1" min="24" max="24"/>
    <col width="53" customWidth="1" min="25" max="25"/>
    <col width="30" customWidth="1" min="26" max="26"/>
    <col width="20" customWidth="1" min="27" max="27"/>
    <col width="49" customWidth="1" min="28" max="28"/>
    <col width="56" customWidth="1" min="29" max="29"/>
    <col width="65" customWidth="1" min="30" max="30"/>
    <col width="18" customWidth="1" min="31" max="31"/>
    <col width="49" customWidth="1" min="32" max="32"/>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Matched Count</t>
        </is>
      </c>
      <c r="J1" s="1" t="inlineStr">
        <is>
          <t>Matched Fields</t>
        </is>
      </c>
      <c r="K1" s="1" t="inlineStr">
        <is>
          <t>Latest Paper / Publication</t>
        </is>
      </c>
      <c r="L1" s="1" t="inlineStr">
        <is>
          <t>Recent Papers (2024-2026)</t>
        </is>
      </c>
      <c r="M1" s="1" t="inlineStr">
        <is>
          <t>Top Cited Papers</t>
        </is>
      </c>
      <c r="N1" s="1" t="inlineStr">
        <is>
          <t>Courses Taught</t>
        </is>
      </c>
      <c r="O1" s="1" t="inlineStr">
        <is>
          <t>Recent Awards / Honors</t>
        </is>
      </c>
      <c r="P1" s="1" t="inlineStr">
        <is>
          <t>Cold Email / Application Instructions</t>
        </is>
      </c>
      <c r="Q1" s="1" t="inlineStr">
        <is>
          <t>Google Scholar Tags</t>
        </is>
      </c>
      <c r="R1" s="1" t="inlineStr">
        <is>
          <t>Research Interests</t>
        </is>
      </c>
      <c r="S1" s="1" t="inlineStr">
        <is>
          <t>Expertise Areas</t>
        </is>
      </c>
      <c r="T1" s="1" t="inlineStr">
        <is>
          <t>Research / Bio Summary</t>
        </is>
      </c>
      <c r="U1" s="1" t="inlineStr">
        <is>
          <t>Education / Degrees</t>
        </is>
      </c>
      <c r="V1" s="1" t="inlineStr">
        <is>
          <t>Lab / Research Group Name</t>
        </is>
      </c>
      <c r="W1" s="1" t="inlineStr">
        <is>
          <t>Lab / Personal Website</t>
        </is>
      </c>
      <c r="X1" s="1" t="inlineStr">
        <is>
          <t>Actively Hiring / Openings</t>
        </is>
      </c>
      <c r="Y1" s="1" t="inlineStr">
        <is>
          <t>Target Skills / Prerequisites</t>
        </is>
      </c>
      <c r="Z1" s="1" t="inlineStr">
        <is>
          <t>Lab Facilities &amp; Equipment</t>
        </is>
      </c>
      <c r="AA1" s="1" t="inlineStr">
        <is>
          <t>Funding Sponsors</t>
        </is>
      </c>
      <c r="AB1" s="1" t="inlineStr">
        <is>
          <t>Software / Code Repo</t>
        </is>
      </c>
      <c r="AC1" s="1" t="inlineStr">
        <is>
          <t>Latest Project / Highlight</t>
        </is>
      </c>
      <c r="AD1" s="1" t="inlineStr">
        <is>
          <t>Office Location</t>
        </is>
      </c>
      <c r="AE1" s="1" t="inlineStr">
        <is>
          <t>Is Field Match</t>
        </is>
      </c>
      <c r="AF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8</v>
      </c>
      <c r="J2" s="2" t="inlineStr">
        <is>
          <t>aerospace, cfd, computational fluid dynamics, dns, fluid dynamics, fluid-structure interaction, multiphase flow, turbulent</t>
        </is>
      </c>
      <c r="K2" s="2" t="inlineStr">
        <is>
          <t>Refereed Journal Papers M. H. Kasbaoui and M. Herrmann, A high-fidelity methodology for particle-resolved direct numerical simu...</t>
        </is>
      </c>
      <c r="L2" s="2" t="inlineStr">
        <is>
          <t>"Modelling the wall slip in large eddy simulations with immersed boundaries" [Journal of Fluid Mechanics] (2026) | "Dynamics of an oscillatory boundary layer over a sediment bed in Euler–Lagrange simulations" [Journal of Fluid Mechanics] (2025) | "Modeling the wall-slip in large eddy simulations with immersed boundaries" [arXiv (Cornell University)] (2025)</t>
        </is>
      </c>
      <c r="M2" s="2" t="inlineStr">
        <is>
          <t>"Clustering in Euler–Euler and Euler–Lagrange simulations of unbounded homogeneous particle-laden shear" [Journal of Fluid Mechanics] (2018, 40 cites) | "Accelerated decay of a Lamb–Oseen vortex tube laden with inertial particles in Eulerian–Lagrangian simulations" [Journal of Fluid Mechanics] (2022, 22 cites) | "Reynolds number scaling of burning rates in spherical turbulent premixed flames" [Journal of Fluid Mechanics] (2020, 20 cites)</t>
        </is>
      </c>
      <c r="N2" s="2" t="inlineStr">
        <is>
          <t>MAE 242: Intro to Fluid Mechanics | MAE 574: Multiphase Flow | MAE 501: Linear Algebra in Engineering</t>
        </is>
      </c>
      <c r="O2" s="2" t="inlineStr"/>
      <c r="P2" s="2" t="inlineStr"/>
      <c r="Q2" s="2" t="inlineStr">
        <is>
          <t>Particle Dynamics in Fluid Flows, Fluid Dynamics and Turbulent Flows, Granular flow and fluidized beds, Aeolian processes and effects, Lattice Boltzmann Simulation Studies</t>
        </is>
      </c>
      <c r="R2" s="2" t="inlineStr"/>
      <c r="S2" s="2" t="inlineStr"/>
      <c r="T2" s="2" t="inlineStr">
        <is>
          <t>Kasbaoui's research interests include computational fluid dynamics, numerical methods, and massively parallel simulations of multiphase and particle-laden flows for environmental and aerospace applications.</t>
        </is>
      </c>
      <c r="U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V2" s="2" t="inlineStr">
        <is>
          <t>Multiphase Flow and Fluid-Structure Interaction Group</t>
        </is>
      </c>
      <c r="W2" s="3">
        <f>HYPERLINK("https://kasbaoui.bitbucket.io", "https://kasbaoui.bitbucket.io")</f>
        <v/>
      </c>
      <c r="X2" s="2" t="inlineStr"/>
      <c r="Y2" s="2" t="inlineStr">
        <is>
          <t>CFD</t>
        </is>
      </c>
      <c r="Z2" s="2" t="inlineStr"/>
      <c r="AA2" s="2" t="inlineStr">
        <is>
          <t>AFOSR</t>
        </is>
      </c>
      <c r="AB2" s="3">
        <f>HYPERLINK("https://bitbucket.org/krgasu/leap/downloads/leap-v0.8.2.tar.gz", "https://bitbucket.org/krgasu/leap/downloads/leap-v0.8.2.tar.gz, https://bitbucket.org/krgasu/leap/src/master")</f>
        <v/>
      </c>
      <c r="AC2" s="2" t="inlineStr">
        <is>
          <t>School for Engineering of Matter, Transport &amp; Energy</t>
        </is>
      </c>
      <c r="AD2" s="2" t="inlineStr">
        <is>
          <t>Campus: Tempe</t>
        </is>
      </c>
      <c r="AE2" s="2" t="b">
        <v>1</v>
      </c>
      <c r="AF2" s="3">
        <f>HYPERLINK("https://faculty.engineering.asu.edu/directory/semte/aerospace-and-mechanical-engineering/", "https://faculty.engineering.asu.edu/directory/semte/aerospace-and-mechanical-engineering/")</f>
        <v/>
      </c>
    </row>
    <row r="3">
      <c r="A3" s="2" t="inlineStr">
        <is>
          <t>Liping Wang</t>
        </is>
      </c>
      <c r="B3" s="2" t="inlineStr">
        <is>
          <t>Arizona State University</t>
        </is>
      </c>
      <c r="C3" s="3">
        <f>HYPERLINK("https://search.asu.edu/profile/lwang78", "https://search.asu.edu/profile/lwang78")</f>
        <v/>
      </c>
      <c r="D3" s="3">
        <f>HYPERLINK("https://scholar.google.com/citations?view_op=search_authors&amp;mauthors=Liping%20Wang%20Arizona%20State%20University", "Google Scholar Search")</f>
        <v/>
      </c>
      <c r="E3" s="2" t="inlineStr">
        <is>
          <t>Associate Professor</t>
        </is>
      </c>
      <c r="F3" s="2" t="inlineStr">
        <is>
          <t>Aerospace &amp; Mechanical Engineering</t>
        </is>
      </c>
      <c r="G3" s="2" t="inlineStr"/>
      <c r="H3" s="3">
        <f>HYPERLINK("mailto:Liping.Wang@asu.edu", "Liping.Wang@asu.edu")</f>
        <v/>
      </c>
      <c r="I3" s="2" t="n">
        <v>7</v>
      </c>
      <c r="J3" s="2" t="inlineStr">
        <is>
          <t>aerospace, guidance, heat transfer, materials, metamaterials, radiation, thermal</t>
        </is>
      </c>
      <c r="K3" s="2" t="inlineStr">
        <is>
          <t>One PhD position available for Fall 2024 on AFM based near-field thermal measurement! ($32k/year stipend + tuition + benefit)</t>
        </is>
      </c>
      <c r="L3" s="2" t="inlineStr">
        <is>
          <t>"Self-adaptive thermal regulation with broadband variable emittance coatings" [Solar Energy Materials and Solar Cells] (2026) | "A Study on the Integration of Teaching on Borrowing Costs and Financing Costs in International Trade Enterprises Under the Guidance of Ideological and Political Education in the Curriculum" [Educational and Humanities] (2026) | "A Supply-Chain Assessment of Water Resource Allocation in China’s National Water Network and Water-Diversion Projects" [Engineering] (2026)</t>
        </is>
      </c>
      <c r="M3" s="2" t="inlineStr">
        <is>
          <t>"Perfect selective metamaterial solar absorbers" [Optics Express] (2013, 350 cites) | "Highly efficient selective metamaterial absorber for high-temperature solar thermal energy harvesting" [Solar Energy Materials and Solar Cells] (2015, 302 cites) | "Coherent thermal emission by excitation of magnetic polaritons between periodic strips and a metallic film" [Optics Express] (2008, 260 cites)</t>
        </is>
      </c>
      <c r="N3" s="2" t="inlineStr">
        <is>
          <t>MAE 584: Internship | MAE 593: Applied Project | MAE 241: Intro to Thermodynamics</t>
        </is>
      </c>
      <c r="O3" s="2" t="inlineStr">
        <is>
          <t>2017         AFOSR Young Investigator (YIP) Award,  ASU | 2016         JQSRT/Elsevier Viskanta Young Scientist Award,  ASU</t>
        </is>
      </c>
      <c r="P3" s="2" t="inlineStr">
        <is>
          <t>Please send your CV to Prof. Wang ( [email protected] ). We will try to get back to you ASAP with possible available positions. Please also send a 2-page statement on describing your previous research experience as well as how your research interests match Prof. Wang’s group’s research themes. | Please send Prof. Wang ( [email protected] ) with your resumes for applications and for more details on the projects.</t>
        </is>
      </c>
      <c r="Q3" s="2" t="inlineStr">
        <is>
          <t>Thermal Radiation and Cooling Technologies, Metamaterials and Metasurfaces Applications, Quantum Electrodynamics and Casimir Effect, Transition Metal Oxide Nanomaterials, Optical properties and cooling technologies in crystalline materials</t>
        </is>
      </c>
      <c r="R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S3" s="2" t="inlineStr"/>
      <c r="T3" s="2" t="inlineStr">
        <is>
          <t>Wang research interests include selective control of thermal emission/absorption using meta-materials for energy harvesting and near-field radiation heat transfer enhancement between meta-materials for thermophotovoltaics.</t>
        </is>
      </c>
      <c r="U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V3" s="2" t="inlineStr">
        <is>
          <t>Nanoscale Thermal Radiation Lab</t>
        </is>
      </c>
      <c r="W3" s="3">
        <f>HYPERLINK("http://faculty.engineering.asu.edu/lpwang", "http://faculty.engineering.asu.edu/lpwang")</f>
        <v/>
      </c>
      <c r="X3" s="2" t="inlineStr">
        <is>
          <t>Multiple UG/MS research positions available for Fall 2024 (volunteer) and Spring/Summer 2025 (possible FURI / MORE support)</t>
        </is>
      </c>
      <c r="Y3" s="2" t="inlineStr"/>
      <c r="Z3" s="2" t="inlineStr">
        <is>
          <t>AFM</t>
        </is>
      </c>
      <c r="AA3" s="2" t="inlineStr">
        <is>
          <t>NASA, NSF</t>
        </is>
      </c>
      <c r="AB3" s="2" t="inlineStr"/>
      <c r="AC3" s="2" t="inlineStr">
        <is>
          <t>News&amp;Awards</t>
        </is>
      </c>
      <c r="AD3" s="2" t="inlineStr">
        <is>
          <t>ENGRC 327 (Tempe, AZ 85287-6106)</t>
        </is>
      </c>
      <c r="AE3" s="2" t="b">
        <v>1</v>
      </c>
      <c r="AF3" s="3">
        <f>HYPERLINK("https://faculty.engineering.asu.edu/directory/semte/aerospace-and-mechanical-engineering/", "https://faculty.engineering.asu.edu/directory/semte/aerospace-and-mechanical-engineering/")</f>
        <v/>
      </c>
    </row>
    <row r="4">
      <c r="A4" s="2" t="inlineStr">
        <is>
          <t>Jay Oswald</t>
        </is>
      </c>
      <c r="B4" s="2" t="inlineStr">
        <is>
          <t>Arizona State University</t>
        </is>
      </c>
      <c r="C4" s="3">
        <f>HYPERLINK("https://search.asu.edu/profile/joswald1", "https://search.asu.edu/profile/joswald1")</f>
        <v/>
      </c>
      <c r="D4" s="3">
        <f>HYPERLINK("https://scholar.google.com/citations?view_op=search_authors&amp;mauthors=Jay%20Oswald%20Arizona%20State%20University", "Google Scholar Search")</f>
        <v/>
      </c>
      <c r="E4" s="2" t="inlineStr">
        <is>
          <t>Associate Professor</t>
        </is>
      </c>
      <c r="F4" s="2" t="inlineStr">
        <is>
          <t>Aerospace &amp; Mechanical Engineering</t>
        </is>
      </c>
      <c r="G4" s="2" t="inlineStr"/>
      <c r="H4" s="3">
        <f>HYPERLINK("mailto:joswald1@asu.edu", "joswald1@asu.edu")</f>
        <v/>
      </c>
      <c r="I4" s="2" t="n">
        <v>6</v>
      </c>
      <c r="J4" s="2" t="inlineStr">
        <is>
          <t>estimation, finite element, materials, robot, robotics, solid mechanics</t>
        </is>
      </c>
      <c r="K4" s="2" t="inlineStr"/>
      <c r="L4" s="2" t="inlineStr">
        <is>
          <t>"Influence of beam oscillation on keyhole stability and porosity in aluminum laser welding" [Journal of Materials Processing Technology] (2025) | "Influence of Topological Segment Length on the Mechanical Properties of Semicrystalline Polyethylene: A Bias-Controlled Monte Carlo Approach" [Macromolecules] (2025) | "Beam Oscillation Mechanisms for Porosity Reduction in Aluminum Laser Welding for Battery Applications" [SSRN Electronic Journal] (2025)</t>
        </is>
      </c>
      <c r="M4" s="2" t="inlineStr">
        <is>
          <t>"Aging of microplastics increases their adsorption affinity towards organic contaminants" [Chemosphere] (2022, 351 cites) | "Simultaneous Iterative Boltzmann Inversion for Coarse-Graining of Polyurea" [Macromolecules] (2014, 113 cites) | "A coupled quantum/continuum mechanics study of graphene fracture" [International Journal of Fracture] (2012, 99 cites)</t>
        </is>
      </c>
      <c r="N4" s="2" t="inlineStr">
        <is>
          <t>MAE 404: Finite Elements in Engineering | MAE 503: Finite Elements in Engineering | MAE 593: Applied Project</t>
        </is>
      </c>
      <c r="O4" s="2" t="inlineStr"/>
      <c r="P4" s="2" t="inlineStr">
        <is>
          <t>If you're interested in joining our group, please email Prof. Oswald with your CV, research interests, and any supporting materials such as publications or code samples.</t>
        </is>
      </c>
      <c r="Q4" s="2" t="inlineStr">
        <is>
          <t>Numerical methods in engineering, Microstructure and mechanical properties, Tribology and Lubrication Engineering, Composite Material Mechanics, Structural Response to Dynamic Loads</t>
        </is>
      </c>
      <c r="R4" s="2" t="inlineStr">
        <is>
          <t>Development of computational mechanics: finite element methods, molecular dynamics, multiscale methods, failure analysis, and material design.</t>
        </is>
      </c>
      <c r="S4" s="2" t="inlineStr"/>
      <c r="T4" s="2" t="inlineStr">
        <is>
          <t>Dr. Oswald develops computational and AI-driven methods for advanced manufacturing, including laser welding, automated inspection, robotics, and computational mechanics.</t>
        </is>
      </c>
      <c r="U4" s="2" t="inlineStr">
        <is>
          <t>Ph.D. Mechanical Engineering, Northwestern University, Evanston, IL 2011 | M.S. Mechanical Engineering, Case Western Reserve University, Cleveland, OH 2005 | B.S. Mechanical Engineering, Case Western Reserve University, Cleveland, OH 2004</t>
        </is>
      </c>
      <c r="V4" s="2" t="inlineStr">
        <is>
          <t>Computational Mechanics Lab</t>
        </is>
      </c>
      <c r="W4" s="3">
        <f>HYPERLINK("http://sparky.fulton.asu.edu/oswald/", "http://sparky.fulton.asu.edu/oswald/")</f>
        <v/>
      </c>
      <c r="X4" s="2" t="inlineStr"/>
      <c r="Y4" s="2" t="inlineStr"/>
      <c r="Z4" s="2" t="inlineStr"/>
      <c r="AA4" s="2" t="inlineStr"/>
      <c r="AB4" s="2" t="inlineStr"/>
      <c r="AC4" s="2" t="inlineStr">
        <is>
          <t>Multiscale polymer analysis</t>
        </is>
      </c>
      <c r="AD4" s="2" t="inlineStr">
        <is>
          <t>ENGRC 353 (Tempe, AZ 85287-6106)</t>
        </is>
      </c>
      <c r="AE4" s="2" t="b">
        <v>1</v>
      </c>
      <c r="AF4" s="3">
        <f>HYPERLINK("https://faculty.engineering.asu.edu/directory/semte/aerospace-and-mechanical-engineering/", "https://faculty.engineering.asu.edu/directory/semte/aerospace-and-mechanical-engineering/")</f>
        <v/>
      </c>
    </row>
    <row r="5">
      <c r="A5" s="2" t="inlineStr">
        <is>
          <t>Jiefeng Sun</t>
        </is>
      </c>
      <c r="B5" s="2" t="inlineStr">
        <is>
          <t>Arizona State University</t>
        </is>
      </c>
      <c r="C5" s="3">
        <f>HYPERLINK("https://search.asu.edu/profile/jsun165", "https://search.asu.edu/profile/jsun165")</f>
        <v/>
      </c>
      <c r="D5" s="3">
        <f>HYPERLINK("https://scholar.google.com/citations?hl=en&amp;user=fjUoHOsAAAAJ", "Scholar (fjUoHOsAAAAJ)")</f>
        <v/>
      </c>
      <c r="E5" s="2" t="inlineStr">
        <is>
          <t>Assistant Professor</t>
        </is>
      </c>
      <c r="F5" s="2" t="inlineStr">
        <is>
          <t>Aerospace &amp; Mechanical Engineering</t>
        </is>
      </c>
      <c r="G5" s="2" t="inlineStr">
        <is>
          <t>fjUoHOsAAAAJ</t>
        </is>
      </c>
      <c r="H5" s="3">
        <f>HYPERLINK("mailto:Jiefeng.Sun@asu.edu", "Jiefeng.Sun@asu.edu")</f>
        <v/>
      </c>
      <c r="I5" s="2" t="n">
        <v>6</v>
      </c>
      <c r="J5" s="2" t="inlineStr">
        <is>
          <t>aerospace, autonomous, materials, robot, robotics, smart materials</t>
        </is>
      </c>
      <c r="K5" s="2" t="inlineStr">
        <is>
          <t>2026 Versatile artificial muscles by decoupling anisotropy Eric Weissman, Rohan Khatavkar, and Jiefeng Sun Proceedings of the N...</t>
        </is>
      </c>
      <c r="L5" s="2" t="inlineStr">
        <is>
          <t>"Real-Time Shape Control of Multi-Segment Soft Robotic Arms Using Koopman Operators with Global and Local Observables" [arXiv (Cornell University)] (2026) | "Impact of a Soft Wearable Back-Support Device on Postural Stability During Trip-Like Perturbations" (2026) | "Improved Postural Stability Using a Lightweight Semi-Active Soft Back Support Device Under Standing Perturbations" [arXiv (Cornell University)] (2026)</t>
        </is>
      </c>
      <c r="M5" s="2" t="inlineStr">
        <is>
          <t>"Leveraging elastic instabilities for amplified performance: Spine-inspired high-speed and high-force soft robots" [Science Advances] (2020, 497 cites) | "Twisted-and-Coiled Actuators with Free Strokes Enable Soft Robots with Programmable Motions" [Soft Robotics] (2020, 100 cites) | "Embedded shape morphing for morphologically adaptive robots" [Nature Communications] (2023, 97 cites)</t>
        </is>
      </c>
      <c r="N5" s="2" t="inlineStr">
        <is>
          <t>MAE 547: Modeling and Control of Robots | MAE 593: Applied Project | MAE 499: Individualized Instruction</t>
        </is>
      </c>
      <c r="O5" s="2" t="inlineStr"/>
      <c r="P5" s="2" t="inlineStr">
        <is>
          <t>To apply, interested candidates should submit an application to Arizona State University via https://webapp4.asu.edu/dgsadmissions/ , specifying their interest in working with Dr. Sun. Additionally, they should send an email titled “Prospective Ph.D. Student” to jiefeng.sun@asu.edu, attaching their CV and a cover letter before submitting their application. | I am seeking multiple highly motivated Master students or undergrads to conduct theses. To apply, interested candidates should fill in this form: https://forms.gle/RCwqu4wkCjhBUoFL7</t>
        </is>
      </c>
      <c r="Q5" s="2" t="inlineStr">
        <is>
          <t>Soft Robotics and Applications, Advanced Materials and Mechanics, Advanced Sensor and Energy Harvesting Materials, Prosthetics and Rehabilitation Robotics, Micro and Nano Robotics</t>
        </is>
      </c>
      <c r="R5" s="2" t="inlineStr">
        <is>
          <t>Hire students to conduct research https://sunroboticslab.github.io</t>
        </is>
      </c>
      <c r="S5" s="2" t="inlineStr">
        <is>
          <t>Autonomous Technologies, Control Systems, Mechanical Engineering, Robotics</t>
        </is>
      </c>
      <c r="T5" s="2" t="inlineStr">
        <is>
          <t>Sun's research focuses on the design, dynamics, and control of soft robots and artificial muscles</t>
        </is>
      </c>
      <c r="U5" s="2" t="inlineStr">
        <is>
          <t>Ph.D. in Robotics and Control, Colorado State University, 2022 M.S. in Mechanical Engineering, Dalian University of Technology, 2017 B.S. in Mechanical Engineering, Lanzhou University of Technology, 2014</t>
        </is>
      </c>
      <c r="V5" s="2" t="inlineStr">
        <is>
          <t>Sun Robotics Lab</t>
        </is>
      </c>
      <c r="W5" s="3">
        <f>HYPERLINK("https://sunroboticslab.github.io", "https://sunroboticslab.github.io")</f>
        <v/>
      </c>
      <c r="X5" s="2" t="inlineStr">
        <is>
          <t>I am seeking multiple highly motivated Master students or undergrads to conduct theses. To apply, interested candidates should fill in this form: https://forms.gle/RCwqu4wkCjhBUoFL7 | I am a K-12 student/teacher and would like information for a school report, tour, help with my robotics team, a research internship, etc. My students and I are very excited about using robotics as a teaching tool to encourage interest in Science, Technology, Engineering, and Math (STEM) topics. We actively involved in outreach and are have an outreach webpage to answer your questions.</t>
        </is>
      </c>
      <c r="Y5" s="2" t="inlineStr"/>
      <c r="Z5" s="2" t="inlineStr"/>
      <c r="AA5" s="2" t="inlineStr"/>
      <c r="AB5" s="2" t="inlineStr"/>
      <c r="AC5" s="2" t="inlineStr">
        <is>
          <t>Mission and Core Values</t>
        </is>
      </c>
      <c r="AD5" s="2" t="inlineStr">
        <is>
          <t>Campus: Tempe</t>
        </is>
      </c>
      <c r="AE5" s="2" t="b">
        <v>1</v>
      </c>
      <c r="AF5" s="3">
        <f>HYPERLINK("https://faculty.engineering.asu.edu/directory/semte/aerospace-and-mechanical-engineering/", "https://faculty.engineering.asu.edu/directory/semte/aerospace-and-mechanical-engineering/")</f>
        <v/>
      </c>
    </row>
    <row r="6">
      <c r="A6" s="2" t="inlineStr">
        <is>
          <t>Kangping Chen</t>
        </is>
      </c>
      <c r="B6" s="2" t="inlineStr">
        <is>
          <t>Arizona State University</t>
        </is>
      </c>
      <c r="C6" s="3">
        <f>HYPERLINK("https://search.asu.edu/profile/asuchen", "https://search.asu.edu/profile/asuchen")</f>
        <v/>
      </c>
      <c r="D6" s="3">
        <f>HYPERLINK("https://scholar.google.com/citations?hl=en&amp;user=xT-lX9sAAAAJ", "Scholar (xT-lX9sAAAAJ)")</f>
        <v/>
      </c>
      <c r="E6" s="2" t="inlineStr">
        <is>
          <t>Associate Professor</t>
        </is>
      </c>
      <c r="F6" s="2" t="inlineStr">
        <is>
          <t>Aerospace &amp; Mechanical Engineering</t>
        </is>
      </c>
      <c r="G6" s="2" t="inlineStr">
        <is>
          <t>xT-lX9sAAAAJ</t>
        </is>
      </c>
      <c r="H6" s="3">
        <f>HYPERLINK("mailto:k.p.chen@asu.edu", "k.p.chen@asu.edu")</f>
        <v/>
      </c>
      <c r="I6" s="2" t="n">
        <v>6</v>
      </c>
      <c r="J6" s="2" t="inlineStr">
        <is>
          <t>aerospace, computational fluid dynamics, fluid dynamics, fluid mechanics, guidance, multiphase flow</t>
        </is>
      </c>
      <c r="K6" s="2" t="inlineStr"/>
      <c r="L6" s="2" t="inlineStr">
        <is>
          <t>"Heterogeneous Feature Knowledge Distillation based on Enhanced Feature Projector Correlation" [Neural Networks] (2025) | "Deep learning and multi-omics reveal programmed cell death-associated diagnostic signatures and prognostic biomarkers in gastric cancer" [Frontiers in Immunology] (2025) | "Research on flexible job shop scheduling based on deep reinforcement learning with transformer-graph neural network" [Journal of Control and Decision] (2025)</t>
        </is>
      </c>
      <c r="M6" s="2" t="inlineStr">
        <is>
          <t>"Lubricated pipelining: stability of core-annular flow" [Journal of Fluid Mechanics] (1989, 202 cites) | "Lubricated pipelining: stability of core—annular flow. Part 5. Experiments and comparison with theory" [Journal of Fluid Mechanics] (1992, 163 cites) | "Pool-boiling enhancement by novel metallic nanoporous surface" [Experimental Thermal and Fluid Science] (2012, 112 cites)</t>
        </is>
      </c>
      <c r="N6" s="2" t="inlineStr">
        <is>
          <t>MAE 242: Intro to Fluid Mechanics | MAE 384: Adv Math Methods for Engineers | MAE 501: Linear Algebra in Engineering</t>
        </is>
      </c>
      <c r="O6" s="2" t="inlineStr"/>
      <c r="P6" s="2" t="inlineStr"/>
      <c r="Q6" s="2" t="inlineStr">
        <is>
          <t>Fluid Dynamics and Thin Films, Rheology and Fluid Dynamics Studies, Hydraulic Fracturing and Reservoir Analysis, Fluid Dynamics and Turbulent Flows, Drilling and Well Engineering</t>
        </is>
      </c>
      <c r="R6" s="2" t="inlineStr"/>
      <c r="S6" s="2" t="inlineStr"/>
      <c r="T6" s="2" t="inlineStr">
        <is>
          <t>Chen’s research interests include multiphase flows, drag reduction, airplane de-icing, interfacial instabilities and flow in porous media.</t>
        </is>
      </c>
      <c r="U6" s="2" t="inlineStr">
        <is>
          <t>Ph.D. Fluid Mechanics, University of Minnesota 1990 | B.S. Mechanics, Peking University, China 1982</t>
        </is>
      </c>
      <c r="V6" s="2" t="inlineStr"/>
      <c r="W6" s="2" t="inlineStr"/>
      <c r="X6" s="2" t="inlineStr"/>
      <c r="Y6" s="2" t="inlineStr"/>
      <c r="Z6" s="2" t="inlineStr"/>
      <c r="AA6" s="2" t="inlineStr"/>
      <c r="AB6" s="2" t="inlineStr"/>
      <c r="AC6" s="2" t="inlineStr"/>
      <c r="AD6" s="2" t="inlineStr">
        <is>
          <t>ENGRC 361 (TEMPE, AZ 85287-6106)</t>
        </is>
      </c>
      <c r="AE6" s="2" t="b">
        <v>1</v>
      </c>
      <c r="AF6" s="3">
        <f>HYPERLINK("https://faculty.engineering.asu.edu/directory/semte/aerospace-and-mechanical-engineering/", "https://faculty.engineering.asu.edu/directory/semte/aerospace-and-mechanical-engineering/")</f>
        <v/>
      </c>
    </row>
    <row r="7">
      <c r="A7" s="2" t="inlineStr">
        <is>
          <t>Kiran Ramesh</t>
        </is>
      </c>
      <c r="B7" s="2" t="inlineStr">
        <is>
          <t>Arizona State University</t>
        </is>
      </c>
      <c r="C7" s="3">
        <f>HYPERLINK("https://search.asu.edu/profile/kramesh2", "https://search.asu.edu/profile/kramesh2")</f>
        <v/>
      </c>
      <c r="D7" s="3">
        <f>HYPERLINK("https://scholar.google.com/citations?hl=en&amp;user=DKc-AgcAAAAJ", "Scholar (DKc-AgcAAAAJ)")</f>
        <v/>
      </c>
      <c r="E7" s="2" t="inlineStr">
        <is>
          <t>Associate Professor</t>
        </is>
      </c>
      <c r="F7" s="2" t="inlineStr">
        <is>
          <t>Aerospace &amp; Mechanical Engineering</t>
        </is>
      </c>
      <c r="G7" s="2" t="inlineStr">
        <is>
          <t>DKc-AgcAAAAJ</t>
        </is>
      </c>
      <c r="H7" s="3">
        <f>HYPERLINK("mailto:Kiran.Ramesh@asu.edu", "Kiran.Ramesh@asu.edu")</f>
        <v/>
      </c>
      <c r="I7" s="2" t="n">
        <v>6</v>
      </c>
      <c r="J7" s="2" t="inlineStr">
        <is>
          <t>aerodynamics, aerospace, flow control, fluid dynamics, turbulence, vortex dynamics</t>
        </is>
      </c>
      <c r="K7" s="2" t="inlineStr"/>
      <c r="L7" s="2" t="inlineStr"/>
      <c r="M7" s="2" t="inlineStr"/>
      <c r="N7" s="2" t="inlineStr">
        <is>
          <t>MAE 242: Intro to Fluid Mechanics | MAE 593: Applied Project | MAE 564: Advanced Aerodynamics</t>
        </is>
      </c>
      <c r="O7" s="2" t="inlineStr"/>
      <c r="P7" s="2" t="inlineStr"/>
      <c r="Q7" s="2" t="inlineStr"/>
      <c r="R7" s="2" t="inlineStr">
        <is>
          <t>Unsteady aerodynamics, vortex dynamics, flow control, turbulence, separated flows</t>
        </is>
      </c>
      <c r="S7" s="2" t="inlineStr"/>
      <c r="T7" s="2" t="inlineStr">
        <is>
          <t>Ramesh's expertise is in unsteady fluid dynamics, vortex dynamics, turbulence and flow control.</t>
        </is>
      </c>
      <c r="U7" s="2" t="inlineStr">
        <is>
          <t>PhD North Carolina State University</t>
        </is>
      </c>
      <c r="V7" s="2" t="inlineStr"/>
      <c r="W7" s="2" t="inlineStr"/>
      <c r="X7" s="2" t="inlineStr"/>
      <c r="Y7" s="2" t="inlineStr"/>
      <c r="Z7" s="2" t="inlineStr"/>
      <c r="AA7" s="2" t="inlineStr"/>
      <c r="AB7" s="2" t="inlineStr"/>
      <c r="AC7" s="2" t="inlineStr"/>
      <c r="AD7" s="2" t="inlineStr">
        <is>
          <t>Engineering research centre Room 383 551 E Tyler mall (Tempe, AZ 85281)</t>
        </is>
      </c>
      <c r="AE7" s="2" t="b">
        <v>1</v>
      </c>
      <c r="AF7" s="3">
        <f>HYPERLINK("https://faculty.engineering.asu.edu/directory/semte/aerospace-and-mechanical-engineering/", "https://faculty.engineering.asu.edu/directory/semte/aerospace-and-mechanical-engineering/")</f>
        <v/>
      </c>
    </row>
    <row r="8">
      <c r="A8" s="2" t="inlineStr">
        <is>
          <t>Kunal Garg</t>
        </is>
      </c>
      <c r="B8" s="2" t="inlineStr">
        <is>
          <t>Arizona State University</t>
        </is>
      </c>
      <c r="C8" s="3">
        <f>HYPERLINK("https://search.asu.edu/profile/kgarg24", "https://search.asu.edu/profile/kgarg24")</f>
        <v/>
      </c>
      <c r="D8" s="3">
        <f>HYPERLINK("https://scholar.google.com/citations?hl=en&amp;user=vs3pl-8AAAAJ", "Scholar (vs3pl-8AAAAJ)")</f>
        <v/>
      </c>
      <c r="E8" s="2" t="inlineStr">
        <is>
          <t>Assistant Professor</t>
        </is>
      </c>
      <c r="F8" s="2" t="inlineStr">
        <is>
          <t>Aerospace &amp; Mechanical Engineering</t>
        </is>
      </c>
      <c r="G8" s="2" t="inlineStr">
        <is>
          <t>vs3pl-8AAAAJ</t>
        </is>
      </c>
      <c r="H8" s="3">
        <f>HYPERLINK("mailto:kgarg24@asu.edu", "kgarg24@asu.edu")</f>
        <v/>
      </c>
      <c r="I8" s="2" t="n">
        <v>6</v>
      </c>
      <c r="J8" s="2" t="inlineStr">
        <is>
          <t>aerospace, autonomous, control theory, motion planning, robot, robotics</t>
        </is>
      </c>
      <c r="K8" s="2" t="inlineStr">
        <is>
          <t>Search this site Embedded Files Skip to main content Skip to navigation Kunal Garg Home People Teaching Research Publications K...</t>
        </is>
      </c>
      <c r="L8" s="2" t="inlineStr">
        <is>
          <t>"Measurement of CP asymmetries in $$ {\overline{B}}^0\to {D}_s^{-}{D}^{+} $$ and $$ {\overline{B}}_s^0\to {D}_s^{-}{D}^{-} $$ decays" [Journal of High Energy Physics] (2026) | "Machine learning techniques for jet reconstruction at LHCb and application to the search for $$ H\to b\overline{b} $$ and $$ H\to c\overline{c} $$ in $$ \sqrt{s}=13 $$ TeV pp collisions" [Journal of High Energy Physics] (2026) | "Improved branching-fraction measurements of $$ {B}_{(s)}^0\to {K}_{\mathrm{S}}^0{h}^{+}h{\prime}^{-} $$ decays and first observation of $$ {B}_s^0\to {K}_{\mathrm{S}}^0{K}^{+}{K}^{-} $$" [Journal of High Energy Physics] (2026)</t>
        </is>
      </c>
      <c r="M8" s="2" t="inlineStr">
        <is>
          <t>"Unveiling the strong interaction among hadrons at the LHC" [Nature] (2020, 196 cites) | "Multiplicity dependence of light-flavor hadron production in p p collisions at s = 7 TeV" [Physical Review C] (2019, 180 cites) | "The ALICE experiment: a journey through QCD" [The European Physical Journal C] (2024, 165 cites)</t>
        </is>
      </c>
      <c r="N8" s="2" t="inlineStr">
        <is>
          <t>MAE 417: System Dynamics and Control II | MAE 593: Applied Project | MAE 598: Special Topics</t>
        </is>
      </c>
      <c r="O8" s="2" t="inlineStr"/>
      <c r="P8" s="2" t="inlineStr">
        <is>
          <t>More specific topics that I will be interested in working on are: Multi-agent robotics Team robotics with aerial and ground robots Learning-based methods for safe robotics Optimization-based methods for safe robotic control Reinforcement learning for multi-objective robotic applications Large-Language Models (LLMs) in robotic applications The pre-requisites and background I am looking for are as follows: Strong interests in control, autonomy, and robotics Strong mathematical background in Linear Systems and Linear Algebra, ODEs, Probability, and Calculus Programming efficiency: Python (C/C++ is optional, but will be a good add-on as we will plan to conduct hardware experiments) Hands-on experience with ML packages (PyTorch or JAX) Hands-on experience with ROS or ROS2 Email me your CV along with a one or two-page document on why you are interested in working with me, what topic(s) you are interested in working on, what motivates you to work on those, which of the pre-requisites listed above you meet, and what's your plan for meeting the rest of the requirements</t>
        </is>
      </c>
      <c r="Q8" s="2" t="inlineStr">
        <is>
          <t>Particle physics theoretical and experimental studies, Quantum Chromodynamics and Particle Interactions, High-Energy Particle Collisions Research, Neutrino Physics Research, Dark Matter and Cosmic Phenomena</t>
        </is>
      </c>
      <c r="R8" s="2" t="inlineStr">
        <is>
          <t>Distributed multi-agent motion planning and control, Provably safe control design using machine learning-based certificates, Foundation models in complex robotic tasks, Failure prediction from limited demonstrations, Human-robot interaction.</t>
        </is>
      </c>
      <c r="S8" s="2" t="inlineStr">
        <is>
          <t>Control Systems, Dynamical Systems, Machine Learning, Nonlinear Dynamical Systems, Robotics</t>
        </is>
      </c>
      <c r="T8" s="2" t="inlineStr">
        <is>
          <t>Garg's research interests include control synthesis for multi-agent coordination using control theory and machine learning.</t>
        </is>
      </c>
      <c r="U8" s="2" t="inlineStr">
        <is>
          <t>PhD. Aerospace Engineering, University of Michigan, Ann Arbor, 2021 MS. Aerospace Engineering, University of Michigan, Ann Arbor, 2019 BTech. Aerospace Engineering, Indian Institute of Technology, Bombay, 2016</t>
        </is>
      </c>
      <c r="V8" s="2" t="inlineStr">
        <is>
          <t>Safe and Autonomous Robotics (STAR) Lab</t>
        </is>
      </c>
      <c r="W8" s="3">
        <f>HYPERLINK("https://sites.google.com/asu.edu/kunalgarg/", "https://sites.google.com/asu.edu/kunalgarg/")</f>
        <v/>
      </c>
      <c r="X8" s="2" t="inlineStr">
        <is>
          <t>Actively seeking graduate students (see lab link/instructions)</t>
        </is>
      </c>
      <c r="Y8" s="2" t="inlineStr">
        <is>
          <t>Python, PyTorch, ROS, ROS2, C/C++, Linear Algebra</t>
        </is>
      </c>
      <c r="Z8" s="2" t="inlineStr"/>
      <c r="AA8" s="2" t="inlineStr"/>
      <c r="AB8" s="2" t="inlineStr"/>
      <c r="AC8" s="2" t="inlineStr"/>
      <c r="AD8" s="2" t="inlineStr">
        <is>
          <t>551 E Tyler Mall ERC 475 (Tempe, AZ 85281)</t>
        </is>
      </c>
      <c r="AE8" s="2" t="b">
        <v>1</v>
      </c>
      <c r="AF8" s="3">
        <f>HYPERLINK("https://faculty.engineering.asu.edu/directory/semte/aerospace-and-mechanical-engineering/", "https://faculty.engineering.asu.edu/directory/semte/aerospace-and-mechanical-engineering/")</f>
        <v/>
      </c>
    </row>
    <row r="9">
      <c r="A9" s="2" t="inlineStr">
        <is>
          <t>Leixin Ma</t>
        </is>
      </c>
      <c r="B9" s="2" t="inlineStr">
        <is>
          <t>Arizona State University</t>
        </is>
      </c>
      <c r="C9" s="3">
        <f>HYPERLINK("https://search.asu.edu/profile/leixinma", "https://search.asu.edu/profile/leixinma")</f>
        <v/>
      </c>
      <c r="D9" s="3">
        <f>HYPERLINK("https://scholar.google.com/citations?hl=en&amp;user=2xQTOc0AAAAJ", "Scholar (2xQTOc0AAAAJ)")</f>
        <v/>
      </c>
      <c r="E9" s="2" t="inlineStr">
        <is>
          <t>Assistant Professor</t>
        </is>
      </c>
      <c r="F9" s="2" t="inlineStr">
        <is>
          <t>Aerospace &amp; Mechanical Engineering</t>
        </is>
      </c>
      <c r="G9" s="2" t="inlineStr">
        <is>
          <t>2xQTOc0AAAAJ</t>
        </is>
      </c>
      <c r="H9" s="3">
        <f>HYPERLINK("mailto:Leixin.Ma@asu.edu", "Leixin.Ma@asu.edu")</f>
        <v/>
      </c>
      <c r="I9" s="2" t="n">
        <v>6</v>
      </c>
      <c r="J9" s="2" t="inlineStr">
        <is>
          <t>aerodynamics, aerospace, fluid-structure interaction, fluids, materials, robot</t>
        </is>
      </c>
      <c r="K9" s="2" t="inlineStr">
        <is>
          <t>Search this site Embedded Files Skip to main content Skip to navigation OASIS group at ASU Home Research People Publications Ne...</t>
        </is>
      </c>
      <c r="L9" s="2" t="inlineStr">
        <is>
          <t>"HGTO: A Unified Graph-Based Physics-Informed Formulation for Structural Topology Optimization" [arXiv (Cornell University)] (2026) | "HGTO: A Unified Graph-Based Physics-Informed Formulation for Structural Topology Optimization" [arXiv (Cornell University)] (2026) | "Graph neural network-based aquaculture net modeling and inference — A frequency domain approach" [Ocean Engineering] (2026)</t>
        </is>
      </c>
      <c r="M9" s="2" t="inlineStr">
        <is>
          <t>"An investigation into the hydrodynamics of a flexible riser undergoing vortex-induced vibration" [Journal of Fluids and Structures] (2016, 178 cites) | "Theoretical and numerical analysis of bending behavior of unbonded flexible risers" [Marine Structures] (2015, 42 cites) | "Experimental investigation of the response performance of VIV on a flexible riser with helical strakes" [Ships and Offshore Structures] (2014, 39 cites)</t>
        </is>
      </c>
      <c r="N9" s="2" t="inlineStr">
        <is>
          <t>MAE 499: Individualized Instruction | MAE 202: Mech.Particles/Rigid Bodies II | MAE 318: System Dynamics and Control I</t>
        </is>
      </c>
      <c r="O9" s="2" t="inlineStr"/>
      <c r="P9"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Q9" s="2" t="inlineStr">
        <is>
          <t>Fluid Dynamics and Vibration Analysis, Vibration and Dynamic Analysis, Wind and Air Flow Studies, Marine Bivalve and Aquaculture Studies, Topology Optimization in Engineering</t>
        </is>
      </c>
      <c r="R9" s="2" t="inlineStr">
        <is>
          <t>Aerodynamics, Dynamical Systems, Machine Learning, Mechanics of Composite Materials</t>
        </is>
      </c>
      <c r="S9" s="2" t="inlineStr">
        <is>
          <t>Aerodynamics, Dynamical Systems, Machine Learning, Mechanics of Composite Materials</t>
        </is>
      </c>
      <c r="T9" s="2" t="inlineStr">
        <is>
          <t>Leixin Ma's career goal is a data-driven and physically consistent approach to modeling and designing programmable smart structures and robots, especially under complex fluid flow conditions.</t>
        </is>
      </c>
      <c r="U9" s="2" t="inlineStr">
        <is>
          <t>Ph.D. in Mechanical Engineering, Massachusetts Institute of Technology, 2021 S.M. in Mechanical Engineering, Massachusetts Institute of Technology, 2017 B.S.E. in Naval Architecture and Ocean Engineering, Shanghai Jiao Tong University, 2015</t>
        </is>
      </c>
      <c r="V9" s="2" t="inlineStr">
        <is>
          <t>Optimization, Autonomy, and Soft Intelligence Systems (OASIS) Lab</t>
        </is>
      </c>
      <c r="W9" s="3">
        <f>HYPERLINK("https://sites.google.com/view/oasislabasu", "https://sites.google.com/view/oasislabasu")</f>
        <v/>
      </c>
      <c r="X9"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Y9" s="2" t="inlineStr"/>
      <c r="Z9" s="2" t="inlineStr">
        <is>
          <t>Towing Tank, FDM</t>
        </is>
      </c>
      <c r="AA9" s="2" t="inlineStr"/>
      <c r="AB9" s="2" t="inlineStr"/>
      <c r="AC9" s="2" t="inlineStr">
        <is>
          <t>Ocean and Soft Intelligent Structure Interaction Lab</t>
        </is>
      </c>
      <c r="AD9" s="2" t="inlineStr">
        <is>
          <t>ERC 485 (Tempe, AZ 85287)</t>
        </is>
      </c>
      <c r="AE9" s="2" t="b">
        <v>1</v>
      </c>
      <c r="AF9" s="3">
        <f>HYPERLINK("https://faculty.engineering.asu.edu/directory/semte/aerospace-and-mechanical-engineering/", "https://faculty.engineering.asu.edu/directory/semte/aerospace-and-mechanical-engineering/")</f>
        <v/>
      </c>
    </row>
    <row r="10">
      <c r="A10" s="2" t="inlineStr">
        <is>
          <t>Gokul Pathikonda</t>
        </is>
      </c>
      <c r="B10" s="2" t="inlineStr">
        <is>
          <t>Arizona State University</t>
        </is>
      </c>
      <c r="C10" s="3">
        <f>HYPERLINK("https://search.asu.edu/profile/gpathiko", "https://search.asu.edu/profile/gpathiko")</f>
        <v/>
      </c>
      <c r="D10" s="3">
        <f>HYPERLINK("https://scholar.google.com/citations?view_op=search_authors&amp;mauthors=Gokul%20Pathikonda%20Arizona%20State%20University", "Google Scholar Search")</f>
        <v/>
      </c>
      <c r="E10" s="2" t="inlineStr">
        <is>
          <t>Assistant Professor</t>
        </is>
      </c>
      <c r="F10" s="2" t="inlineStr">
        <is>
          <t>Aerospace &amp; Mechanical Engineering</t>
        </is>
      </c>
      <c r="G10" s="2" t="inlineStr"/>
      <c r="H10" s="3">
        <f>HYPERLINK("mailto:Gokul.Pathikonda@asu.edu", "Gokul.Pathikonda@asu.edu")</f>
        <v/>
      </c>
      <c r="I10" s="2" t="n">
        <v>5</v>
      </c>
      <c r="J10" s="2" t="inlineStr">
        <is>
          <t>aerodynamics, aerospace, reacting flow, turbulence, turbulent</t>
        </is>
      </c>
      <c r="K10" s="2" t="inlineStr">
        <is>
          <t>There is an open post-doctoral opening starting Fall 2025 in experimental turbulence research . All students interested in join...</t>
        </is>
      </c>
      <c r="L10" s="2" t="inlineStr">
        <is>
          <t>"Bleeding flow characteristics downstream of isotropic porous square cylinders" [Journal of Fluid Mechanics] (2026) | "Coherent organisation of passive scalar from a point source in a turbulent boundary layer" [Journal of Fluid Mechanics] (2025) | "Turbulent/non-turbulent interface in Rayleigh–Taylor flows" [Journal of Turbulence] (2025)</t>
        </is>
      </c>
      <c r="M10" s="2" t="inlineStr">
        <is>
          <t>"Cross-stream stereoscopic particle image velocimetry of a modified turbulent boundary layer over directional surface pattern" [Journal of Fluid Mechanics] (2017, 120 cites) | "The transition to turbulence in shock-driven mixing: effects of Mach number and initial conditions" [Journal of Fluid Mechanics] (2019, 77 cites) | "Numerical analyses of high temperature dense, granular flows coupled to high temperature flow property measurements for solar thermal energy storage" [Solar Energy] (2020, 25 cites)</t>
        </is>
      </c>
      <c r="N10" s="2" t="inlineStr">
        <is>
          <t>MAE 575: Turbulence | MAE 593: Applied Project | MAE 499: Individualized Instruction</t>
        </is>
      </c>
      <c r="O10" s="2" t="inlineStr"/>
      <c r="P10" s="2" t="inlineStr"/>
      <c r="Q10" s="2" t="inlineStr">
        <is>
          <t>Fluid Dynamics and Turbulent Flows, Particle Dynamics in Fluid Flows, Laser-Plasma Interactions and Diagnostics, Wind and Air Flow Studies, Combustion and flame dynamics</t>
        </is>
      </c>
      <c r="R10" s="2" t="inlineStr">
        <is>
          <t>Aerodynamics, Aerospace Engineering, Mechanical Engineering</t>
        </is>
      </c>
      <c r="S10" s="2" t="inlineStr">
        <is>
          <t>Aerodynamics, Aerospace Engineering, Mechanical Engineering</t>
        </is>
      </c>
      <c r="T10" s="2" t="inlineStr">
        <is>
          <t>Dr. Pathikonda studies turbulent fluid flows to understand natural and engineering phenomena using lab experiments. His expertise is in complex (reacting) mixing, high Re-flows, laser-based &amp; spectroscopic techniques, etc.</t>
        </is>
      </c>
      <c r="U10" s="2" t="inlineStr">
        <is>
          <t>Ph. D. Theoretical and Applied Mechanics, University of Illinois, Urbana Champaign, 2017 | MS Aerospace Engineering, University of Illinois, Urbana Champaign, 2013 | B. Tech. Mechanical Engineering, National Institute of Technology, Warangal, 2009</t>
        </is>
      </c>
      <c r="V10" s="2" t="inlineStr"/>
      <c r="W10" s="3">
        <f>HYPERLINK("https://faculty.engineering.asu.edu/cmat/", "https://faculty.engineering.asu.edu/cmat/")</f>
        <v/>
      </c>
      <c r="X10" s="2" t="inlineStr"/>
      <c r="Y10" s="2" t="inlineStr"/>
      <c r="Z10" s="2" t="inlineStr"/>
      <c r="AA10" s="2" t="inlineStr"/>
      <c r="AB10" s="2" t="inlineStr"/>
      <c r="AC10" s="2" t="inlineStr">
        <is>
          <t>Want to be part of CMAT Lab?</t>
        </is>
      </c>
      <c r="AD10" s="2" t="inlineStr">
        <is>
          <t>551 E Tyler Mall ERC 479 (Tempe, AZ 85281)</t>
        </is>
      </c>
      <c r="AE10" s="2" t="b">
        <v>1</v>
      </c>
      <c r="AF10" s="3">
        <f>HYPERLINK("https://faculty.engineering.asu.edu/directory/semte/aerospace-and-mechanical-engineering/", "https://faculty.engineering.asu.edu/directory/semte/aerospace-and-mechanical-engineering/")</f>
        <v/>
      </c>
    </row>
    <row r="11">
      <c r="A11" s="2" t="inlineStr">
        <is>
          <t>Marcus Herrmann</t>
        </is>
      </c>
      <c r="B11" s="2" t="inlineStr">
        <is>
          <t>Arizona State University</t>
        </is>
      </c>
      <c r="C11" s="3">
        <f>HYPERLINK("https://search.asu.edu/profile/mherrma1", "https://search.asu.edu/profile/mherrma1")</f>
        <v/>
      </c>
      <c r="D11" s="3">
        <f>HYPERLINK("https://scholar.google.com/citations?hl=en&amp;user=yv6aCW8AAAAJ", "Scholar (yv6aCW8AAAAJ)")</f>
        <v/>
      </c>
      <c r="E11" s="2" t="inlineStr">
        <is>
          <t>Professor</t>
        </is>
      </c>
      <c r="F11" s="2" t="inlineStr">
        <is>
          <t>Aerospace &amp; Mechanical Engineering</t>
        </is>
      </c>
      <c r="G11" s="2" t="inlineStr">
        <is>
          <t>yv6aCW8AAAAJ</t>
        </is>
      </c>
      <c r="H11" s="3">
        <f>HYPERLINK("mailto:Marcus.Herrmann@asu.edu", "Marcus.Herrmann@asu.edu")</f>
        <v/>
      </c>
      <c r="I11" s="2" t="n">
        <v>5</v>
      </c>
      <c r="J11" s="2" t="inlineStr">
        <is>
          <t>aerospace, fluid mechanics, multiphase flow, turbulence, turbulent</t>
        </is>
      </c>
      <c r="K11" s="2" t="inlineStr"/>
      <c r="L11" s="2" t="inlineStr">
        <is>
          <t>"A high-fidelity methodology for particle-resolved direct numerical simulations" [International Journal of Multiphase Flow] (2025) | "BPS2025 - Liquid nano-sheet sample delivery for femtosecond solution X-ray scattering" [Biophysical Journal] (2025) | "Characterization of the forcing and sub-filter scale terms in the volume-filtering immersed boundary method" [Journal of Computational Physics] (2025)</t>
        </is>
      </c>
      <c r="M11" s="2" t="inlineStr">
        <is>
          <t>"Modeling Primary Atomization" [Annual Review of Fluid Mechanics] (2008, 440 cites) | "A balanced force refined level set grid method for two-phase flows on unstructured flow solver grids" [Journal of Computational Physics] (2007, 316 cites) | "A parallel Eulerian interface tracking/Lagrangian point particle multi-scale coupling procedure" [Journal of Computational Physics] (2009, 235 cites)</t>
        </is>
      </c>
      <c r="N11" s="2" t="inlineStr">
        <is>
          <t>MAE 384: Adv Math Methods for Engineers | MAE 484: Internship | MAE 561: Computational Fluid Dynamics</t>
        </is>
      </c>
      <c r="O11" s="2" t="inlineStr"/>
      <c r="P11" s="2" t="inlineStr"/>
      <c r="Q11" s="2" t="inlineStr">
        <is>
          <t>Fluid Dynamics and Heat Transfer, Fluid Dynamics and Turbulent Flows, Particle Dynamics in Fluid Flows, Combustion and flame dynamics, Computational Fluid Dynamics and Aerodynamics</t>
        </is>
      </c>
      <c r="R11" s="2" t="inlineStr"/>
      <c r="S11" s="2" t="inlineStr"/>
      <c r="T11" s="2" t="inlineStr">
        <is>
          <t>Herrmann's research interests include fluid mechanics, modeling and numerical simulation of multiphase flows with a focus on turbulent atomization processes, and numerical methods for discontinuous interfaces.</t>
        </is>
      </c>
      <c r="U11" s="2" t="inlineStr">
        <is>
          <t>PhD in Mechanical Engineering, University of Technology (RWTH) Aachen, Germany 2001 | Diploma. Mechanical and Aerospace Engineering, University of Technology (RWTH) Aachen, Germany 1995</t>
        </is>
      </c>
      <c r="V11" s="2" t="inlineStr">
        <is>
          <t>Computational Multiphase Physics Laboratory</t>
        </is>
      </c>
      <c r="W11" s="2" t="inlineStr"/>
      <c r="X11" s="2" t="inlineStr"/>
      <c r="Y11" s="2" t="inlineStr"/>
      <c r="Z11" s="2" t="inlineStr"/>
      <c r="AA11" s="2" t="inlineStr"/>
      <c r="AB11" s="2" t="inlineStr"/>
      <c r="AC11" s="2" t="inlineStr"/>
      <c r="AD11" s="2" t="inlineStr">
        <is>
          <t>ENGRC 311 (TEMPE, AZ 85287-6106)</t>
        </is>
      </c>
      <c r="AE11" s="2" t="b">
        <v>1</v>
      </c>
      <c r="AF11" s="3">
        <f>HYPERLINK("https://faculty.engineering.asu.edu/directory/semte/aerospace-and-mechanical-engineering/", "https://faculty.engineering.asu.edu/directory/semte/aerospace-and-mechanical-engineering/")</f>
        <v/>
      </c>
    </row>
    <row r="12">
      <c r="A12" s="2" t="inlineStr">
        <is>
          <t>Spring Berman</t>
        </is>
      </c>
      <c r="B12" s="2" t="inlineStr">
        <is>
          <t>Arizona State University</t>
        </is>
      </c>
      <c r="C12" s="3">
        <f>HYPERLINK("https://search.asu.edu/profile/smberma2", "https://search.asu.edu/profile/smberma2")</f>
        <v/>
      </c>
      <c r="D12" s="3">
        <f>HYPERLINK("https://scholar.google.com/citations?hl=en&amp;user=KKup0OgAAAAJ", "Scholar (KKup0OgAAAAJ)")</f>
        <v/>
      </c>
      <c r="E12" s="2" t="inlineStr">
        <is>
          <t>Professor</t>
        </is>
      </c>
      <c r="F12" s="2" t="inlineStr">
        <is>
          <t>Aerospace &amp; Mechanical Engineering</t>
        </is>
      </c>
      <c r="G12" s="2" t="inlineStr">
        <is>
          <t>KKup0OgAAAAJ</t>
        </is>
      </c>
      <c r="H12" s="3">
        <f>HYPERLINK("mailto:Spring.Berman@asu.edu", "Spring.Berman@asu.edu")</f>
        <v/>
      </c>
      <c r="I12" s="2" t="n">
        <v>5</v>
      </c>
      <c r="J12" s="2" t="inlineStr">
        <is>
          <t>aerospace, autonomous, control theory, robot, robotics</t>
        </is>
      </c>
      <c r="K12" s="2" t="inlineStr"/>
      <c r="L12" s="2" t="inlineStr">
        <is>
          <t>"Robust optimal density control of robotic swarms" [Automatica] (2025) | "A Survey on Small-Scale Testbeds for Connected and Automated Vehicles and Robot Swarms: A Guide for Creating a New Testbed [Survey]" [IEEE Robotics &amp; Automation Magazine] (2024) | "PathFinder: Attention-Driven Dynamic Non-Line-of-Sight Tracking with a Mobile Robot" (2024)</t>
        </is>
      </c>
      <c r="M12" s="2" t="inlineStr">
        <is>
          <t>"Optimized Stochastic Policies for Task Allocation in Swarms of Robots" [IEEE Transactions on Robotics] (2009, 259 cites) | "Highly stretchable self-sensing actuator based on conductive photothermally-responsive hydrogel" [Materials Today] (2021, 221 cites) | "Experimental Study and Modeling of Group Retrieval in Ants as an Approach to Collective Transport in Swarm Robotic Systems" [Proceedings of the IEEE] (2011, 110 cites)</t>
        </is>
      </c>
      <c r="N12" s="2" t="inlineStr">
        <is>
          <t>MAE 318: System Dynamics and Control I | MAE 598: Special Topics | MAE 593: Applied Project</t>
        </is>
      </c>
      <c r="O12" s="2" t="inlineStr"/>
      <c r="P12" s="2" t="inlineStr"/>
      <c r="Q12" s="2" t="inlineStr">
        <is>
          <t>Distributed Control Multi-Agent Systems, Modular Robots and Swarm Intelligence, Mathematical and Theoretical Epidemiology and Ecology Models, Gene Regulatory Network Analysis, Micro and Nano Robotics</t>
        </is>
      </c>
      <c r="R12" s="2" t="inlineStr">
        <is>
          <t>Modeling, analysis, control, and optimization of multi-robot systems including robotic swarms; analysis of collective behaviors in biology and biologically-inspired control of distributed systems</t>
        </is>
      </c>
      <c r="S12" s="2" t="inlineStr">
        <is>
          <t>Systems and Control Theory, Mechanical Engineering, Autonomous Technologies, Robotics</t>
        </is>
      </c>
      <c r="T12" s="2" t="inlineStr">
        <is>
          <t>Dr. Berman directs the Autonomous Collective Systems Laboratory at ASU, which models and analyzes behaviors in biological and engineered collectives and designs control strategies for multi-robot systems.</t>
        </is>
      </c>
      <c r="U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V12" s="2" t="inlineStr">
        <is>
          <t>Autonomous Collective Systems (ACS) Laboratory</t>
        </is>
      </c>
      <c r="W12" s="3">
        <f>HYPERLINK("http://faculty.engineering.asu.edu/acs/", "http://faculty.engineering.asu.edu/acs/")</f>
        <v/>
      </c>
      <c r="X12" s="2" t="inlineStr"/>
      <c r="Y12" s="2" t="inlineStr"/>
      <c r="Z12" s="2" t="inlineStr"/>
      <c r="AA12" s="2" t="inlineStr"/>
      <c r="AB12" s="2" t="inlineStr"/>
      <c r="AC12" s="2" t="inlineStr"/>
      <c r="AD12" s="2" t="inlineStr">
        <is>
          <t>ENGRC 375 (Tempe, AZ 85287-6106)</t>
        </is>
      </c>
      <c r="AE12" s="2" t="b">
        <v>1</v>
      </c>
      <c r="AF12" s="3">
        <f>HYPERLINK("https://faculty.engineering.asu.edu/directory/semte/aerospace-and-mechanical-engineering/", "https://faculty.engineering.asu.edu/directory/semte/aerospace-and-mechanical-engineering/")</f>
        <v/>
      </c>
    </row>
    <row r="13">
      <c r="A13" s="2" t="inlineStr">
        <is>
          <t>Zhe Xu</t>
        </is>
      </c>
      <c r="B13" s="2" t="inlineStr">
        <is>
          <t>Arizona State University</t>
        </is>
      </c>
      <c r="C13" s="3">
        <f>HYPERLINK("https://search.asu.edu/profile/xzhe1", "https://search.asu.edu/profile/xzhe1")</f>
        <v/>
      </c>
      <c r="D13" s="3">
        <f>HYPERLINK("https://scholar.google.com/citations?view_op=search_authors&amp;mauthors=Zhe%20Xu%20Arizona%20State%20University", "Google Scholar Search")</f>
        <v/>
      </c>
      <c r="E13" s="2" t="inlineStr">
        <is>
          <t>Assistant Professor</t>
        </is>
      </c>
      <c r="F13" s="2" t="inlineStr">
        <is>
          <t>Aerospace &amp; Mechanical Engineering</t>
        </is>
      </c>
      <c r="G13" s="2" t="inlineStr"/>
      <c r="H13" s="3">
        <f>HYPERLINK("mailto:xzhe1@asu.edu", "xzhe1@asu.edu")</f>
        <v/>
      </c>
      <c r="I13" s="2" t="n">
        <v>5</v>
      </c>
      <c r="J13" s="2" t="inlineStr">
        <is>
          <t>autonomous, control theory, energy systems, robot, robotics</t>
        </is>
      </c>
      <c r="K13" s="2" t="inlineStr">
        <is>
          <t>Search this site Embedded Files Skip to main content Skip to navigation Home Publications Research Teaching Group Members Outre...</t>
        </is>
      </c>
      <c r="L13" s="2" t="inlineStr">
        <is>
          <t>"A comprehensive CFD lifecycle dataset for marine vessel hydrodynamics" [Scientific Data] (2026) | "Current-Biased Informed RRT* for USV Path Planning in Flow Fields" (2026) | "Inferring Causal Graph Temporal Logic Formulas to Expedite Reinforcement Learning in Temporally Extended Tasks" [arXiv (Cornell University)] (2026)</t>
        </is>
      </c>
      <c r="M13" s="2" t="inlineStr">
        <is>
          <t>"The oyster genome reveals stress adaptation and complexity of shell formation" [Nature] (2012, 2316 cites) | "The pearl oyster Pinctada fucata martensii genome and multi-omic analyses provide insights into biomineralization" [GigaScience] (2017, 232 cites) | "Dynamics of microbial communities, texture and flavor in Suan zuo yu during fermentation" [Food Chemistry] (2020, 120 cites)</t>
        </is>
      </c>
      <c r="N13" s="2" t="inlineStr">
        <is>
          <t>MAE 506: Adv Sys Model, Dynamic, Contrl | MAE 318: System Dynamics and Control I | MAE 593: Applied Project</t>
        </is>
      </c>
      <c r="O13" s="2" t="inlineStr"/>
      <c r="P13" s="2" t="inlineStr"/>
      <c r="Q13" s="2" t="inlineStr">
        <is>
          <t>Marine Bivalve and Aquaculture Studies, Magnesium Alloys: Properties and Applications, Aluminum Alloys Composites Properties, Calcium Carbonate Crystallization and Inhibition, Meat and Animal Product Quality</t>
        </is>
      </c>
      <c r="R13" s="2" t="inlineStr">
        <is>
          <t>The research interests include control theory, machine learning, formal methods and autonomous systems.</t>
        </is>
      </c>
      <c r="S13" s="2" t="inlineStr">
        <is>
          <t>Artificial Intelligence, Control Systems, Electric Power and Energy Systems, Machine Learning, Robotics, Systems and Control Theory</t>
        </is>
      </c>
      <c r="T13" s="2" t="inlineStr">
        <is>
          <t>My research interests include control theory, formal methods, and machine learning (including reinforcement learning), with applications on autonomous systems and cyber-physical systems.</t>
        </is>
      </c>
      <c r="U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V13" s="2" t="inlineStr"/>
      <c r="W13" s="3">
        <f>HYPERLINK("https://sites.google.com/site/zhexudavid00710/research?authuser=0", "https://sites.google.com/site/zhexudavid00710/research?authuser=0")</f>
        <v/>
      </c>
      <c r="X13" s="2" t="inlineStr"/>
      <c r="Y13" s="2" t="inlineStr"/>
      <c r="Z13" s="2" t="inlineStr"/>
      <c r="AA13" s="2" t="inlineStr"/>
      <c r="AB13" s="2" t="inlineStr"/>
      <c r="AC13" s="2" t="inlineStr"/>
      <c r="AD13" s="2" t="inlineStr">
        <is>
          <t>Campus: Tempe</t>
        </is>
      </c>
      <c r="AE13" s="2" t="b">
        <v>1</v>
      </c>
      <c r="AF13" s="3">
        <f>HYPERLINK("https://faculty.engineering.asu.edu/directory/semte/aerospace-and-mechanical-engineering/", "https://faculty.engineering.asu.edu/directory/semte/aerospace-and-mechanical-engineering/")</f>
        <v/>
      </c>
    </row>
    <row r="14">
      <c r="A14" s="2" t="inlineStr">
        <is>
          <t>Jeonglae Kim</t>
        </is>
      </c>
      <c r="B14" s="2" t="inlineStr">
        <is>
          <t>Arizona State University</t>
        </is>
      </c>
      <c r="C14" s="3">
        <f>HYPERLINK("https://search.asu.edu/profile/jkim520", "https://search.asu.edu/profile/jkim520")</f>
        <v/>
      </c>
      <c r="D14" s="3">
        <f>HYPERLINK("https://scholar.google.com/citations?view_op=search_authors&amp;mauthors=Jeonglae%20Kim%20Arizona%20State%20University", "Google Scholar Search")</f>
        <v/>
      </c>
      <c r="E14" s="2" t="inlineStr">
        <is>
          <t>Assistant Professor</t>
        </is>
      </c>
      <c r="F14" s="2" t="inlineStr">
        <is>
          <t>Aerospace &amp; Mechanical Engineering</t>
        </is>
      </c>
      <c r="G14" s="2" t="inlineStr"/>
      <c r="H14" s="3">
        <f>HYPERLINK("mailto:jeokim@asu.edu", "jeokim@asu.edu")</f>
        <v/>
      </c>
      <c r="I14" s="2" t="n">
        <v>4</v>
      </c>
      <c r="J14" s="2" t="inlineStr">
        <is>
          <t>aerospace, flow control, turbulence, turbulent</t>
        </is>
      </c>
      <c r="K14" s="2" t="inlineStr"/>
      <c r="L14" s="2" t="inlineStr"/>
      <c r="M14" s="2" t="inlineStr">
        <is>
          <t>"Adjoint-based control of loud events in a turbulent jet" [Journal of Fluid Mechanics] (2014, 46 cites) | "LES Investigation of a Mach 1.3 Jet With and Without Plasma Actuators" [47th AIAA Aerospace Sciences Meeting including The New Horizons Forum and Aerospace Exposition] (2009, 38 cites) | "A High-Order, Overset-Mesh Algorithm for Adjoint-Based Optimization for Aeroacoustics Control" (2010, 21 cites)</t>
        </is>
      </c>
      <c r="N14" s="2" t="inlineStr">
        <is>
          <t>MAE 242: Intro to Fluid Mechanics | MAE 593: Applied Project | MAE 598: Special Topics</t>
        </is>
      </c>
      <c r="O14" s="2" t="inlineStr"/>
      <c r="P14" s="2" t="inlineStr"/>
      <c r="Q14" s="2" t="inlineStr">
        <is>
          <t>Aerodynamics and Acoustics in Jet Flows, Fluid Dynamics and Turbulent Flows, Computational Fluid Dynamics and Aerodynamics, Combustion and flame dynamics, Acoustic Wave Phenomena Research</t>
        </is>
      </c>
      <c r="R14" s="2" t="inlineStr"/>
      <c r="S14" s="2" t="inlineStr"/>
      <c r="T14" s="2" t="inlineStr">
        <is>
          <t>Kim's research interests include large-eddy simulation of high-speed turbulent flows with multi-physics, aeroacoustics, flow control and optimization.</t>
        </is>
      </c>
      <c r="U14" s="2" t="inlineStr">
        <is>
          <t>Ph.D. Theoretical and Applied Mechanics, University of Illinois at Urbana-Champaign | M.S. Mechanical and Aerospace Engineering, Seoul National University, South Korea | B.S. Mechanical and Aerospace Engineering, Seoul National University, South Korea</t>
        </is>
      </c>
      <c r="V14" s="2" t="inlineStr"/>
      <c r="W14" s="2" t="inlineStr"/>
      <c r="X14" s="2" t="inlineStr"/>
      <c r="Y14" s="2" t="inlineStr"/>
      <c r="Z14" s="2" t="inlineStr"/>
      <c r="AA14" s="2" t="inlineStr"/>
      <c r="AB14" s="2" t="inlineStr"/>
      <c r="AC14" s="2" t="inlineStr"/>
      <c r="AD14" s="2" t="inlineStr">
        <is>
          <t>Campus: Tempe</t>
        </is>
      </c>
      <c r="AE14" s="2" t="b">
        <v>1</v>
      </c>
      <c r="AF14" s="3">
        <f>HYPERLINK("https://faculty.engineering.asu.edu/directory/semte/aerospace-and-mechanical-engineering/", "https://faculty.engineering.asu.edu/directory/semte/aerospace-and-mechanical-engineering/")</f>
        <v/>
      </c>
    </row>
    <row r="15">
      <c r="A15" s="2" t="inlineStr">
        <is>
          <t>Matthew Peet</t>
        </is>
      </c>
      <c r="B15" s="2" t="inlineStr">
        <is>
          <t>Arizona State University</t>
        </is>
      </c>
      <c r="C15" s="3">
        <f>HYPERLINK("https://search.asu.edu/profile/mpeet", "https://search.asu.edu/profile/mpeet")</f>
        <v/>
      </c>
      <c r="D15" s="3">
        <f>HYPERLINK("https://scholar.google.com/citations?hl=en&amp;user=l7umOqMAAAAJ", "Scholar (l7umOqMAAAAJ)")</f>
        <v/>
      </c>
      <c r="E15" s="2" t="inlineStr">
        <is>
          <t>Associate Professor</t>
        </is>
      </c>
      <c r="F15" s="2" t="inlineStr">
        <is>
          <t>Aerospace &amp; Mechanical Engineering</t>
        </is>
      </c>
      <c r="G15" s="2" t="inlineStr">
        <is>
          <t>l7umOqMAAAAJ</t>
        </is>
      </c>
      <c r="H15" s="3">
        <f>HYPERLINK("mailto:mpeet@asu.edu", "mpeet@asu.edu")</f>
        <v/>
      </c>
      <c r="I15" s="2" t="n">
        <v>4</v>
      </c>
      <c r="J15" s="2" t="inlineStr">
        <is>
          <t>aerospace, materials, spacecraft, system dynamics</t>
        </is>
      </c>
      <c r="K15" s="2" t="inlineStr"/>
      <c r="L15" s="2" t="inlineStr">
        <is>
          <t>"Lyapunov Functions can Exactly Quantify Rate Performance of Nonlinear Differential Equations" [arXiv (Cornell University)] (2026) | "Lyapunov Functions can Exactly Quantify Rate Performance of Nonlinear Differential Equations" [arXiv (Cornell University)] (2026) | "Hierarchical Stability and Lyapunov Conditions for Linear PDEs" [IEEE Control Systems Letters] (2026)</t>
        </is>
      </c>
      <c r="M15" s="2" t="inlineStr">
        <is>
          <t>"Highly stretchable self-sensing actuator based on conductive photothermally-responsive hydrogel" [Materials Today] (2021, 221 cites) | "Positive Forms and Stability of Linear Time-Delay Systems" [SIAM Journal on Control and Optimization] (2009, 98 cites) | "Exponentially Stable Nonlinear Systems Have Polynomial Lyapunov Functions on Bounded Regions" [IEEE Transactions on Automatic Control] (2009, 76 cites)</t>
        </is>
      </c>
      <c r="N15" s="2" t="inlineStr">
        <is>
          <t>MAE 593: Applied Project | MAE 318: System Dynamics and Control I | MAE 509: LMI Methods</t>
        </is>
      </c>
      <c r="O15" s="2" t="inlineStr"/>
      <c r="P15" s="2" t="inlineStr"/>
      <c r="Q15" s="2" t="inlineStr">
        <is>
          <t>Stability and Control of Uncertain Systems, Stability and Controllability of Differential Equations, Control Systems and Identification, Numerical methods for differential equations, Advanced Optimization Algorithms Research</t>
        </is>
      </c>
      <c r="R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S15" s="2" t="inlineStr">
        <is>
          <t>Control Systems, Dynamical Systems Theory, Aerospace Engineering, Algorithm Development, Dynamical Systems, Nonlinear Dynamical Systems, Mathematical and System Dynamics Modeling, Immunology</t>
        </is>
      </c>
      <c r="T15" s="2" t="inlineStr">
        <is>
          <t>Peet's current research interests are in the role of computation as it is applied to the understanding and control of complex and large-scale systems.</t>
        </is>
      </c>
      <c r="U15" s="2" t="inlineStr">
        <is>
          <t>Ph.D. Aeronautics and Astronautics, Stanford University 2006 | Bachelor's degree. Physics, University of Texas-Austin 1999 | Bachelor's degree. Aerospace Engineering, University of Texas-Austin 1999</t>
        </is>
      </c>
      <c r="V15" s="2" t="inlineStr">
        <is>
          <t>Cybernetic Systems and Controls Laboratory (CSCL)</t>
        </is>
      </c>
      <c r="W15" s="3">
        <f>HYPERLINK("http://control.asu.edu/", "http://control.asu.edu/")</f>
        <v/>
      </c>
      <c r="X15" s="2" t="inlineStr"/>
      <c r="Y15" s="2" t="inlineStr"/>
      <c r="Z15" s="2" t="inlineStr"/>
      <c r="AA15" s="2" t="inlineStr"/>
      <c r="AB15" s="2" t="inlineStr"/>
      <c r="AC15" s="2" t="inlineStr"/>
      <c r="AD15" s="2" t="inlineStr">
        <is>
          <t>ENGRC 253 (Tempe, AZ 85287-6106)</t>
        </is>
      </c>
      <c r="AE15" s="2" t="b">
        <v>1</v>
      </c>
      <c r="AF15" s="3">
        <f>HYPERLINK("https://faculty.engineering.asu.edu/directory/semte/aerospace-and-mechanical-engineering/", "https://faculty.engineering.asu.edu/directory/semte/aerospace-and-mechanical-engineering/")</f>
        <v/>
      </c>
    </row>
    <row r="16">
      <c r="A16" s="2" t="inlineStr">
        <is>
          <t>Robert Wang</t>
        </is>
      </c>
      <c r="B16" s="2" t="inlineStr">
        <is>
          <t>Arizona State University</t>
        </is>
      </c>
      <c r="C16" s="3">
        <f>HYPERLINK("https://search.asu.edu/profile/rywang", "https://search.asu.edu/profile/rywang")</f>
        <v/>
      </c>
      <c r="D16" s="3">
        <f>HYPERLINK("https://scholar.google.com/citations?hl=en&amp;user=LaUdx9gAAAAJ", "Scholar (LaUdx9gAAAAJ)")</f>
        <v/>
      </c>
      <c r="E16" s="2" t="inlineStr">
        <is>
          <t>Associate Professor</t>
        </is>
      </c>
      <c r="F16" s="2" t="inlineStr">
        <is>
          <t>Aerospace &amp; Mechanical Engineering</t>
        </is>
      </c>
      <c r="G16" s="2" t="inlineStr">
        <is>
          <t>LaUdx9gAAAAJ</t>
        </is>
      </c>
      <c r="H16" s="3">
        <f>HYPERLINK("mailto:rywang@asu.edu", "rywang@asu.edu")</f>
        <v/>
      </c>
      <c r="I16" s="2" t="n">
        <v>4</v>
      </c>
      <c r="J16" s="2" t="inlineStr">
        <is>
          <t>composites, heat transfer, materials, thermal</t>
        </is>
      </c>
      <c r="K16" s="2" t="inlineStr"/>
      <c r="L16" s="2" t="inlineStr">
        <is>
          <t>"Thermal conductivity trends across cadmium sulfide nanoparticle sizes – from colloidal nanocrystals down to magic-sized clusters" [Chemical Physics] (2026) | "BACQ - Application-Oriented Benchmarks for Quantum Computing" [Communications in computer and information science] (2026) | "Thermal Radiative Properties of Tungsten-Doped Vanadium Dioxide Thin Films Fabricated in an Extremely Low-Oxygen Furnace Environment" [International Journal of Thermophysics] (2025)</t>
        </is>
      </c>
      <c r="M16" s="2" t="inlineStr">
        <is>
          <t>"Real-time hand-tracking with a color glove" [ACM Transactions on Graphics] (2009, 610 cites) | "Enhanced Thermopower in PbSe Nanocrystal Quantum Dot Superlattices" [Nano Letters] (2008, 257 cites) | "Oxide‐Mediated Formation of Chemically Stable Tungsten–Liquid Metal Mixtures for Enhanced Thermal Interfaces" [Advanced Materials] (2019, 192 cites)</t>
        </is>
      </c>
      <c r="N16" s="2" t="inlineStr">
        <is>
          <t>MAE 241: Intro to Thermodynamics | MAE 593: Applied Project | MAE 588: Nanoscale Heat Transfer</t>
        </is>
      </c>
      <c r="O16" s="2" t="inlineStr"/>
      <c r="P16" s="2" t="inlineStr"/>
      <c r="Q16" s="2" t="inlineStr">
        <is>
          <t>Thermal properties of materials, Quantum Dots Synthesis And Properties, Advanced Thermoelectric Materials and Devices, Chalcogenide Semiconductor Thin Films, Thermal Radiation and Cooling Technologies</t>
        </is>
      </c>
      <c r="R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S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T16" s="2" t="inlineStr">
        <is>
          <t>Wang's research interests include thermal energy conversion, storage, and transport in nanostructured materials; thermoelectric power generation; thermal storage media; heat transfer, and phonon optics</t>
        </is>
      </c>
      <c r="U16" s="2" t="inlineStr">
        <is>
          <t>Ph.D. Mechanical Engineering, University of California-Berkeley 2008 | M.S. Mechanical Engineering, University of California-Berkeley 2005 | B.S. Mechanical Engineering, University of California-Los Angeles 2003</t>
        </is>
      </c>
      <c r="V16" s="2" t="inlineStr"/>
      <c r="W16" s="3">
        <f>HYPERLINK("http://wang.faculty.asu.edu/", "http://wang.faculty.asu.edu/")</f>
        <v/>
      </c>
      <c r="X16" s="2" t="inlineStr"/>
      <c r="Y16" s="2" t="inlineStr"/>
      <c r="Z16" s="2" t="inlineStr"/>
      <c r="AA16" s="2" t="inlineStr"/>
      <c r="AB16" s="2" t="inlineStr"/>
      <c r="AC16" s="2" t="inlineStr"/>
      <c r="AD16" s="2" t="inlineStr">
        <is>
          <t>ENGRC 307 (Tempe, AZ 85287-6106)</t>
        </is>
      </c>
      <c r="AE16" s="2" t="b">
        <v>1</v>
      </c>
      <c r="AF16" s="3">
        <f>HYPERLINK("https://faculty.engineering.asu.edu/directory/semte/aerospace-and-mechanical-engineering/", "https://faculty.engineering.asu.edu/directory/semte/aerospace-and-mechanical-engineering/")</f>
        <v/>
      </c>
    </row>
    <row r="17">
      <c r="A17" s="2" t="inlineStr">
        <is>
          <t>Ryan Milcarek</t>
        </is>
      </c>
      <c r="B17" s="2" t="inlineStr">
        <is>
          <t>Arizona State University</t>
        </is>
      </c>
      <c r="C17" s="3">
        <f>HYPERLINK("https://search.asu.edu/profile/rjmilcar", "https://search.asu.edu/profile/rjmilcar")</f>
        <v/>
      </c>
      <c r="D17" s="3">
        <f>HYPERLINK("https://scholar.google.com/citations?hl=en&amp;user=m-Pb6g2pm2UC", "Scholar (m-Pb6g2pm2UC)")</f>
        <v/>
      </c>
      <c r="E17" s="2" t="inlineStr">
        <is>
          <t>Associate Professor</t>
        </is>
      </c>
      <c r="F17" s="2" t="inlineStr">
        <is>
          <t>Aerospace &amp; Mechanical Engineering</t>
        </is>
      </c>
      <c r="G17" s="2" t="inlineStr">
        <is>
          <t>m-Pb6g2pm2UC</t>
        </is>
      </c>
      <c r="H17" s="3">
        <f>HYPERLINK("mailto:Ryan.Milcarek@asu.edu", "Ryan.Milcarek@asu.edu")</f>
        <v/>
      </c>
      <c r="I17" s="2" t="n">
        <v>4</v>
      </c>
      <c r="J17" s="2" t="inlineStr">
        <is>
          <t>aerospace, combustion, energy systems, materials</t>
        </is>
      </c>
      <c r="K17" s="2" t="inlineStr">
        <is>
          <t>Micro-scale Thermal Partial Oxidation Reformer and Integrated Solid Oxide Fuel Cell Operating with Jet Fuel,</t>
        </is>
      </c>
      <c r="L17" s="2" t="inlineStr">
        <is>
          <t>"Multi-year assessment of energy storage capacity for a carbon-neutral grid in Arizona and the impact of wind energy integration" [Renewable Energy] (2026) | "Analysis of gas turbines with diffusion, premixed and rich-quench-lean combustor designs utilizing ternary CH4/H2/NH3 fuel blends" [Energy Conversion and Management] (2026) | "Micro-scale thermal partial oxidation reformer and integrated solid oxide fuel cell operating with jet fuel" [Journal of Power Sources] (2026)</t>
        </is>
      </c>
      <c r="M17" s="2" t="inlineStr">
        <is>
          <t>"A review of energy storage technologies for demand-side management in industrial facilities" [Journal of Cleaner Production] (2021, 100 cites) | "Techno-Economic Assessment of CHP Systems in Wastewater Treatment Plants" [Environments] (2020, 78 cites) | "Thermodynamic and emission analysis of a hydrogen/methane fueled gas turbine" [Energy Conversion and Management X] (2023, 50 cites)</t>
        </is>
      </c>
      <c r="N17" s="2" t="inlineStr">
        <is>
          <t>MAE 593: Applied Project | MAE 436: Combustion | MAE 536: Combustion</t>
        </is>
      </c>
      <c r="O17" s="2" t="inlineStr">
        <is>
          <t>Outstanding Faculty Mentor, Fulton Schools of Engineering, For the Fulton Forge Student Research programs, 2026 | 1st Place, Student Paper Competition, 2025 ASME IMECE Power Symposium, 2025</t>
        </is>
      </c>
      <c r="P17" s="2" t="inlineStr"/>
      <c r="Q17" s="2" t="inlineStr">
        <is>
          <t>Advancements in Solid Oxide Fuel Cells, Fuel Cells and Related Materials, Catalytic Processes in Materials Science, Electrocatalysts for Energy Conversion, Catalysis and Oxidation Reactions</t>
        </is>
      </c>
      <c r="R17" s="2" t="inlineStr">
        <is>
          <t>Energy management and efficiency, energy transition, energy storage, solid oxide fuel cells, partial oxidation, cogeneration, combustion, and synthesis of hydrogen</t>
        </is>
      </c>
      <c r="S17" s="2" t="inlineStr">
        <is>
          <t>Ceramics, Electrochemistry, Energy, Energy and Sustainability, Energy Conservation, Energy Economics, Energy Efficiency Technologies, Thin Film Materials</t>
        </is>
      </c>
      <c r="T17" s="2" t="inlineStr">
        <is>
          <t>Milcarek's current research focuses on energy management and efficiency, energy system modeling, energy transition, energy storage, solid oxide fuel cells fabrication and testing, partial oxidation and synthesis of hydrogen.</t>
        </is>
      </c>
      <c r="U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V17" s="2" t="inlineStr"/>
      <c r="W17" s="3">
        <f>HYPERLINK("http://RESEARCHGATE.net/profile/Ryan_Milcarek", "http://RESEARCHGATE.net/profile/Ryan_Milcarek")</f>
        <v/>
      </c>
      <c r="X17" s="2" t="inlineStr"/>
      <c r="Y17" s="2" t="inlineStr"/>
      <c r="Z17" s="2" t="inlineStr"/>
      <c r="AA17" s="2" t="inlineStr"/>
      <c r="AB17" s="2" t="inlineStr"/>
      <c r="AC17" s="2" t="inlineStr"/>
      <c r="AD17" s="2" t="inlineStr">
        <is>
          <t>ENGRC 465 (Tempe, AZ 85287)</t>
        </is>
      </c>
      <c r="AE17" s="2" t="b">
        <v>1</v>
      </c>
      <c r="AF17" s="3">
        <f>HYPERLINK("https://faculty.engineering.asu.edu/directory/semte/aerospace-and-mechanical-engineering/", "https://faculty.engineering.asu.edu/directory/semte/aerospace-and-mechanical-engineering/")</f>
        <v/>
      </c>
    </row>
    <row r="18">
      <c r="A18" s="2" t="inlineStr">
        <is>
          <t>T.-W. Lee</t>
        </is>
      </c>
      <c r="B18" s="2" t="inlineStr">
        <is>
          <t>Arizona State University</t>
        </is>
      </c>
      <c r="C18" s="3">
        <f>HYPERLINK("https://search.asu.edu/profile/attwl", "https://search.asu.edu/profile/attwl")</f>
        <v/>
      </c>
      <c r="D18" s="3">
        <f>HYPERLINK("https://scholar.google.com/citations?view_op=search_authors&amp;mauthors=T.-W.%20Lee%20Arizona%20State%20University", "Google Scholar Search")</f>
        <v/>
      </c>
      <c r="E18" s="2" t="inlineStr">
        <is>
          <t>Associate Professor</t>
        </is>
      </c>
      <c r="F18" s="2" t="inlineStr">
        <is>
          <t>Aerospace &amp; Mechanical Engineering</t>
        </is>
      </c>
      <c r="G18" s="2" t="inlineStr"/>
      <c r="H18" s="3">
        <f>HYPERLINK("mailto:ATTWL@asu.edu", "ATTWL@asu.edu")</f>
        <v/>
      </c>
      <c r="I18" s="2" t="n">
        <v>4</v>
      </c>
      <c r="J18" s="2" t="inlineStr">
        <is>
          <t>aerospace, energy systems, propulsion, thermal</t>
        </is>
      </c>
      <c r="K18" s="2" t="inlineStr">
        <is>
          <t>N Hegde, Taewoo Lee. Laser-induced breakdown spectroscopy for in situ diagnostics of combustion parameters including tem</t>
        </is>
      </c>
      <c r="L18" s="2" t="inlineStr"/>
      <c r="M18" s="2" t="inlineStr"/>
      <c r="N18" s="2" t="inlineStr">
        <is>
          <t>MAE 565: Rocket Propulsion | MAE 593: Applied Project | MAE 570: Intermediate Thermodynamics</t>
        </is>
      </c>
      <c r="O18" s="2" t="inlineStr"/>
      <c r="P18" s="2" t="inlineStr"/>
      <c r="Q18" s="2" t="inlineStr"/>
      <c r="R18" s="2" t="inlineStr"/>
      <c r="S18" s="2" t="inlineStr"/>
      <c r="T18" s="2" t="inlineStr">
        <is>
          <t>Lee's areas of expertise include energy system analysis, thermal and fluid process characterization, and fuel property measurements for energy systems.</t>
        </is>
      </c>
      <c r="U18" s="2" t="inlineStr">
        <is>
          <t>Ph.D. Aerospace Engineering, University of Michigan-Ann Arbor | M.S.E. Aerospace Engineering, University of Michigan-Ann Arbor | B.S. Aeronautical and Astronautical Engineering, The Ohio State University-Columbus</t>
        </is>
      </c>
      <c r="V18" s="2" t="inlineStr"/>
      <c r="W18" s="2" t="inlineStr"/>
      <c r="X18" s="2" t="inlineStr"/>
      <c r="Y18" s="2" t="inlineStr"/>
      <c r="Z18" s="2" t="inlineStr"/>
      <c r="AA18" s="2" t="inlineStr"/>
      <c r="AB18" s="2" t="inlineStr"/>
      <c r="AC18" s="2" t="inlineStr"/>
      <c r="AD18" s="2" t="inlineStr">
        <is>
          <t>ENGRC 377 (TEMPE, AZ 85287-6106)</t>
        </is>
      </c>
      <c r="AE18" s="2" t="b">
        <v>1</v>
      </c>
      <c r="AF18" s="3">
        <f>HYPERLINK("https://faculty.engineering.asu.edu/directory/semte/aerospace-and-mechanical-engineering/", "https://faculty.engineering.asu.edu/directory/semte/aerospace-and-mechanical-engineering/")</f>
        <v/>
      </c>
    </row>
    <row r="19">
      <c r="A19" s="2" t="inlineStr">
        <is>
          <t>Tianyu Yang</t>
        </is>
      </c>
      <c r="B19" s="2" t="inlineStr">
        <is>
          <t>Arizona State University</t>
        </is>
      </c>
      <c r="C19" s="3">
        <f>HYPERLINK("https://search.asu.edu/profile/tyang123", "https://search.asu.edu/profile/tyang123")</f>
        <v/>
      </c>
      <c r="D19" s="3">
        <f>HYPERLINK("https://scholar.google.com/citations?hl=en&amp;user=OmBV67MAAAAJ", "Scholar (OmBV67MAAAAJ)")</f>
        <v/>
      </c>
      <c r="E19" s="2" t="inlineStr">
        <is>
          <t>Assistant Professor</t>
        </is>
      </c>
      <c r="F19" s="2" t="inlineStr">
        <is>
          <t>Aerospace &amp; Mechanical Engineering</t>
        </is>
      </c>
      <c r="G19" s="2" t="inlineStr">
        <is>
          <t>OmBV67MAAAAJ</t>
        </is>
      </c>
      <c r="H19" s="3">
        <f>HYPERLINK("mailto:Tianyu.Yang@asu.edu", "Tianyu.Yang@asu.edu")</f>
        <v/>
      </c>
      <c r="I19" s="2" t="n">
        <v>4</v>
      </c>
      <c r="J19" s="2" t="inlineStr">
        <is>
          <t>autonomous, heat transfer, materials, thermal</t>
        </is>
      </c>
      <c r="K19" s="2" t="inlineStr"/>
      <c r="L19" s="2" t="inlineStr">
        <is>
          <t>"Micro‐explosions caused by the reaction of nano‐sized aluminium and polyvinylidene fluoride to promote the micron‐sized aluminium combustion and inhibit its agglomeration" [The Canadian Journal of Chemical Engineering] (2025) | "Canadian Spine SocietyAbstract ID 19. Program Code CPSS01. Pediatric Spine Frailty Index predicts morbidity and mortality in spinal deformity surgeryAbstract ID 99. Program Code CPSS02. Evaluation of biplane radiographic systems for scoliotic patientsAbstract ID 180. Program Code CPSS03. Rate of spinal osteochondromas diagnosed via advanced imaging in pediatric patients with hereditary multiple osteochondromas: a systematic review and meta-analysisAbstract ID 137. Program Code CPSS04. The impact of adverse childhood experiences on fibromyalgia: a systematic review and meta-analysis of case–control studiesAbstract ID 61. Program Code CPSS05. Enhanced recovery pathway for patients with adolescent idiopathic scoliosis undergoing posterior spinal instrumentation and fusion surgery: a matched controlled analysisAbstract ID 193. Program Code CPSS06. Integrated approach to back pain in the adolescent populationAbstract ID 38. Program Code CPSS07. Traumatic spinal cord injury in children and adolescents: a 20-year review from the Hospital for Sick ChildrenAbstract ID 93. Program Code CPSS08. Prevalence and prognosis of scapular pain following surgical treatment of adolescent idiopathic scoliosis: a prospective study to guide preoperative counsellingAbstract ID 150. Program Code CPSS09. Preoperative zoledronate is safe for children with medical complexity undergoing posterior spinal fusion for neuromuscular scoliosisAbstract ID 15. Program Code CPSS10. Allogeneic transfusion is associated with adverse events in idiopathic scoliosis surgeryAbstract ID 56. Program Code A11. Defining the gaps in transitional care to adulthood for patients in pediatric surgical specialties: a scoping reviewAbstract ID 81. Program Code A12. Effect of mixing dissimilar metals on serum metal ion levels following spinal deformity surgeryAbstract ID 184. Program Code A13. Intraoperative neuromonitoring has poor correlation with postoperative neurological deficits in non-cord level adult deformity surgeryAbstract ID 94. Program Code A14. Role of somatosensory evoked potential (SSEP) in enhancing intraoperative neuromonitoring for spinal deformity surgery — results from a prospective multicentre studyAbstract ID 9. Program Code A15. Does fat matter? The association between extension of fusion and paraspinal muscle fat infiltrationAbstract ID 47. Program Code A16. Pelvic incidence to lumbar lordosis association varies by Roussouly morphotypeAbstract ID 102. Program Code A17. Association between rod and fusion mass fractures in adult spinal deformity: a retrospective cohort studyAbstract ID 8. Program Code A18. Design and implementation of a novel morselized bone interbody cage in posterior lumbar spinal fusion: a biomechanical studyAbstract ID 86. Program Code A19. Decompression versus decompression plus fusion for stable degenerative lumbar spondylolisthesis: comparing outcomes using propensity score–matched dataAbstract ID 176. Program Code A20. Reoperation rates for decompression and fusion versus decompression alone for degenerative spondylolisthesis: a comparative analysisAbstract ID 186. Program Code B21. Modic change is not associated with occult discitis or poor clinical outcome among patients treated surgically for lumbar disc herniation: prospective cohort studyAbstract ID 145. Program Code B22. Machine learning–driven clinical and imaging clustering of degenerative lumbar spondylolisthesis: implications for stratified surgical careAbstract ID 68. Program Code B23. Which psychosocial measures are most strongly related to surgical outcomes in patients with degenerative pathology of the spine?Abstract ID 111. Program Code B24. Acceptance and commitment therapy for patients with degenerative spinal disorders and maladaptive psychological processes: an observational studyAbstract ID 128. Program Code B25. Assessing construct validity of the Spine Adverse Events Severity System: impact of adverse event severity grade on longitudinal patient-reported outcomes)Abstract ID 72. Program Code B26. A pilot randomized controlled trial comparing traditional midline versus paramedian approaches to the lumbar spine for elective posterior/transforaminal lumbar interbody fusion proceduresAbstract ID 96. Program Code B27. Uniportal versus biportal endoscopic decompression for the treatment of lumbar spinal stenosis: a systematic review and updated meta-analysisAbstract ID 152. Program Code B28. Why business tools are essential for managing a spine programAbstract ID 172. Program Code B29. Relationship between fatty infiltration, frailty, and outcomes after spinal surgeryAbstract ID 143. Program Code C30. Clinical trajectory and outcomes with surgical intervention for traumatic central cord syndrome: impact of mechanism of injuryAbstract ID 13. Program Code C31. Optimal tracheostomy timing following traumatic complete spinal cord injury: a comparative analysis of ultra-early, early and delayed practiceAbstract ID 123. Program Code C32. Early stabilizatio" [Canadian Journal of Surgery] (2025) | "Enhanced Thermoelectric Performance of GeTe Materials via Compositing Fe 3 O 4 Nanoparticles" [ACS Applied Materials &amp; Interfaces] (2025)</t>
        </is>
      </c>
      <c r="M19" s="2" t="inlineStr">
        <is>
          <t>"A facile soft-template synthesis of mesoporous polymeric and carbonaceous nanospheres" [Nature Communications] (2013, 1593 cites) | "Lattice plainification advances highly effective SnSe crystalline thermoelectrics" [Science] (2023, 474 cites) | "Yolk–Shell Hybrid Materials with a Periodic Mesoporous Organosilica Shell: Ideal Nanoreactors for Selective Alcohol Oxidation" [Advanced Functional Materials] (2011, 362 cites)</t>
        </is>
      </c>
      <c r="N19" s="2" t="inlineStr">
        <is>
          <t>MAE 241: Intro to Thermodynamics</t>
        </is>
      </c>
      <c r="O19" s="2" t="inlineStr"/>
      <c r="P19" s="2" t="inlineStr"/>
      <c r="Q19" s="2" t="inlineStr">
        <is>
          <t>Advanced Thermoelectric Materials and Devices, Catalytic Processes in Materials Science, Electrocatalysts for Energy Conversion, Chalcogenide Semiconductor Thin Films, Topological Materials and Phenomena</t>
        </is>
      </c>
      <c r="R19" s="2" t="inlineStr"/>
      <c r="S19" s="2" t="inlineStr"/>
      <c r="T19" s="2" t="inlineStr">
        <is>
          <t>Yang studies heat transfer, thermal management of electronics, and biomedical devices. She has published multiple research papers in major scientific journals.</t>
        </is>
      </c>
      <c r="U19" s="2" t="inlineStr">
        <is>
          <t>PhD. University of Illinois at Urbana Champaign, 2016-2021 | BS. Tsinghua University, China 2012-2016</t>
        </is>
      </c>
      <c r="V19" s="2" t="inlineStr"/>
      <c r="W19" s="2" t="inlineStr"/>
      <c r="X19" s="2" t="inlineStr"/>
      <c r="Y19" s="2" t="inlineStr"/>
      <c r="Z19" s="2" t="inlineStr"/>
      <c r="AA19" s="2" t="inlineStr"/>
      <c r="AB19" s="2" t="inlineStr"/>
      <c r="AC19" s="2" t="inlineStr"/>
      <c r="AD19" s="2" t="inlineStr">
        <is>
          <t>Campus: Tempe</t>
        </is>
      </c>
      <c r="AE19" s="2" t="b">
        <v>1</v>
      </c>
      <c r="AF19" s="3">
        <f>HYPERLINK("https://faculty.engineering.asu.edu/directory/semte/aerospace-and-mechanical-engineering/", "https://faculty.engineering.asu.edu/directory/semte/aerospace-and-mechanical-engineering/")</f>
        <v/>
      </c>
    </row>
    <row r="20">
      <c r="A20" s="2" t="inlineStr">
        <is>
          <t>Aditi Chattopadhyay</t>
        </is>
      </c>
      <c r="B20" s="2" t="inlineStr">
        <is>
          <t>Arizona State University</t>
        </is>
      </c>
      <c r="C20" s="3">
        <f>HYPERLINK("https://search.asu.edu/profile/chattopa", "https://search.asu.edu/profile/chattopa")</f>
        <v/>
      </c>
      <c r="D20" s="3">
        <f>HYPERLINK("https://scholar.google.com/citations?hl=en&amp;user=w3fU9E0AAAAJ", "Scholar (w3fU9E0AAAAJ)")</f>
        <v/>
      </c>
      <c r="E20" s="2" t="inlineStr">
        <is>
          <t>Regents Professor</t>
        </is>
      </c>
      <c r="F20" s="2" t="inlineStr">
        <is>
          <t>Aerospace &amp; Mechanical Engineering</t>
        </is>
      </c>
      <c r="G20" s="2" t="inlineStr">
        <is>
          <t>w3fU9E0AAAAJ</t>
        </is>
      </c>
      <c r="H20" s="3">
        <f>HYPERLINK("mailto:aditi@asu.edu", "aditi@asu.edu")</f>
        <v/>
      </c>
      <c r="I20" s="2" t="n">
        <v>3</v>
      </c>
      <c r="J20" s="2" t="inlineStr">
        <is>
          <t>aerospace, materials, structural health monitoring</t>
        </is>
      </c>
      <c r="K20" s="2" t="inlineStr"/>
      <c r="L20" s="2" t="inlineStr">
        <is>
          <t>"Early Damage Detection in Cinnamoyl‐Functionalized Shape Memory Epoxy Through Mechanochemical Activation" [Journal of Polymer Science] (2026) | "Microstructural Descriptors-Aware Diffusion-Based model for stochastic reconstruction of composite microstructures" [Composite Structures] (2026) | "In Situ Scanning Electron Microscopy Investigation of Flexural and Interlaminar Failure Mechanisms in Carbon Nanotube‐Reinforced Shape Memory Polymer Composites" [Polymer Composites] (2026)</t>
        </is>
      </c>
      <c r="M20" s="2" t="inlineStr">
        <is>
          <t>"Automated fatigue damage detection and classification technique for composite structures using Lamb waves and deep autoencoder" [Mechanical Systems and Signal Processing] (2021, 141 cites) | "New higher order plate theory in modeling delamination buckling of composite laminates" [AIAA Journal] (1994, 120 cites) | "Real-time anomaly detection framework using a support vector regression for the safety monitoring of commercial aircraft" [Advanced Engineering Informatics] (2020, 112 cites)</t>
        </is>
      </c>
      <c r="N20" s="2" t="inlineStr">
        <is>
          <t>MAE 557: Mechanics Composite Materials | MAE 494: Special Topics | MAE 521: Structural Optimization</t>
        </is>
      </c>
      <c r="O20" s="2" t="inlineStr"/>
      <c r="P20" s="2" t="inlineStr"/>
      <c r="Q20" s="2" t="inlineStr">
        <is>
          <t>Structural Health Monitoring Techniques, Composite Structure Analysis and Optimization, Ultrasonics and Acoustic Wave Propagation, Mechanical Behavior of Composites, Aeroelasticity and Vibration Control</t>
        </is>
      </c>
      <c r="R20" s="2" t="inlineStr"/>
      <c r="S20" s="2" t="inlineStr"/>
      <c r="T20" s="2" t="inlineStr">
        <is>
          <t>Chattopadhyay is the director of Adaptive Intelligent Materials and Systems (AIMS) Center at ASU. Her research focuses on structural health monitoring and damage prognosis, and multidisciplinary design optimization.</t>
        </is>
      </c>
      <c r="U20" s="2" t="inlineStr">
        <is>
          <t>Ph. D. Aerospace Engineering, Georgia Institute of Technology | M.S. Aerospace Engineering, Georgia Institute of Technology | B. Tech. Aeronautical Engineering (Honors), Indian Institute of Technology, Kharagpur, India 1980</t>
        </is>
      </c>
      <c r="V20" s="2" t="inlineStr">
        <is>
          <t>Adaptive Intelligent Materials &amp; Systems (AIMS) Center</t>
        </is>
      </c>
      <c r="W20" s="2" t="inlineStr"/>
      <c r="X20" s="2" t="inlineStr"/>
      <c r="Y20" s="2" t="inlineStr"/>
      <c r="Z20" s="2" t="inlineStr"/>
      <c r="AA20" s="2" t="inlineStr"/>
      <c r="AB20" s="2" t="inlineStr"/>
      <c r="AC20" s="2" t="inlineStr"/>
      <c r="AD20" s="2" t="inlineStr">
        <is>
          <t>ENGRC 427 (TEMPE, AZ 85287-6106)</t>
        </is>
      </c>
      <c r="AE20" s="2" t="b">
        <v>1</v>
      </c>
      <c r="AF20" s="3">
        <f>HYPERLINK("https://faculty.engineering.asu.edu/directory/semte/aerospace-and-mechanical-engineering/", "https://faculty.engineering.asu.edu/directory/semte/aerospace-and-mechanical-engineering/")</f>
        <v/>
      </c>
    </row>
    <row r="21">
      <c r="A21" s="2" t="inlineStr">
        <is>
          <t>Alberto Scotti</t>
        </is>
      </c>
      <c r="B21" s="2" t="inlineStr">
        <is>
          <t>Arizona State University</t>
        </is>
      </c>
      <c r="C21" s="3">
        <f>HYPERLINK("https://search.asu.edu/profile/adscotti", "https://search.asu.edu/profile/adscotti")</f>
        <v/>
      </c>
      <c r="D21" s="3">
        <f>HYPERLINK("https://scholar.google.com/citations?hl=en&amp;user=HRx2lJQAAAAJ", "Scholar (HRx2lJQAAAAJ)")</f>
        <v/>
      </c>
      <c r="E21" s="2" t="inlineStr">
        <is>
          <t>Professor</t>
        </is>
      </c>
      <c r="F21" s="2" t="inlineStr">
        <is>
          <t>Aerospace &amp; Mechanical Engineering</t>
        </is>
      </c>
      <c r="G21" s="2" t="inlineStr">
        <is>
          <t>HRx2lJQAAAAJ</t>
        </is>
      </c>
      <c r="H21" s="3">
        <f>HYPERLINK("mailto:Alberto.Scotti@asu.edu", "Alberto.Scotti@asu.edu")</f>
        <v/>
      </c>
      <c r="I21" s="2" t="n">
        <v>3</v>
      </c>
      <c r="J21" s="2" t="inlineStr">
        <is>
          <t>fluid mechanics, fluids, turbulent</t>
        </is>
      </c>
      <c r="K21" s="2" t="inlineStr"/>
      <c r="L21" s="2" t="inlineStr">
        <is>
          <t>"A Versatile Laboratory Approach to Reproduce and Analyze Internal Ocean Wave Dynamics" [arXiv (Cornell University)] (2026) | "A Versatile Laboratory Approach to Reproduce and Analyze Internal Ocean Wave Dynamics" [arXiv (Cornell University)] (2026) | "Lagrangian geometry of flows" [Physical Review Fluids] (2026)</t>
        </is>
      </c>
      <c r="M21" s="2" t="inlineStr">
        <is>
          <t>"The formation and fate of internal waves in the South China Sea" [Nature] (2015, 739 cites) | "Generalized Smagorinsky model for anisotropic grids" [Physics of Fluids A Fluid Dynamics] (1993, 282 cites) | "Numerical simulation of pulsating turbulent channel flow" [Physics of Fluids] (2001, 211 cites)</t>
        </is>
      </c>
      <c r="N21" s="2" t="inlineStr">
        <is>
          <t>MAE 501: Linear Algebra in Engineering | MAE 215: Intro to Programming in MATLAB | MAE 202: Mech.Particles/Rigid Bodies II</t>
        </is>
      </c>
      <c r="O21" s="2" t="inlineStr"/>
      <c r="P21" s="2" t="inlineStr"/>
      <c r="Q21" s="2" t="inlineStr">
        <is>
          <t>Oceanographic and Atmospheric Processes, Fluid Dynamics and Turbulent Flows, Meteorological Phenomena and Simulations, Ocean Waves and Remote Sensing, Climate variability and models</t>
        </is>
      </c>
      <c r="R21" s="2" t="inlineStr">
        <is>
          <t>Modeling and Simulation, Oceanography, Earth Systems and Climate Science, Modeling, Modeling, Simulation and Cyberinfrastructure, Applied Mathematics</t>
        </is>
      </c>
      <c r="S21" s="2" t="inlineStr">
        <is>
          <t>Modeling and Simulation, Oceanography, Earth Systems and Climate Science, Modeling, Modeling, Simulation and Cyberinfrastructure, Applied Mathematics</t>
        </is>
      </c>
      <c r="T21" s="2" t="inlineStr">
        <is>
          <t>Scotti's main focus is theoretical, experimental and computational aspects of environmental fluid mechanics.</t>
        </is>
      </c>
      <c r="U21" s="2" t="inlineStr">
        <is>
          <t>PhD Johns Hopkins University</t>
        </is>
      </c>
      <c r="V21" s="2" t="inlineStr"/>
      <c r="W21" s="2" t="inlineStr"/>
      <c r="X21" s="2" t="inlineStr"/>
      <c r="Y21" s="2" t="inlineStr"/>
      <c r="Z21" s="2" t="inlineStr"/>
      <c r="AA21" s="2" t="inlineStr"/>
      <c r="AB21" s="2" t="inlineStr"/>
      <c r="AC21" s="2" t="inlineStr"/>
      <c r="AD21" s="2" t="inlineStr">
        <is>
          <t>Campus: Tempe</t>
        </is>
      </c>
      <c r="AE21" s="2" t="b">
        <v>1</v>
      </c>
      <c r="AF21" s="3">
        <f>HYPERLINK("https://faculty.engineering.asu.edu/directory/semte/aerospace-and-mechanical-engineering/", "https://faculty.engineering.asu.edu/directory/semte/aerospace-and-mechanical-engineering/")</f>
        <v/>
      </c>
    </row>
    <row r="22">
      <c r="A22" s="2" t="inlineStr">
        <is>
          <t>Beomjin Kwon</t>
        </is>
      </c>
      <c r="B22" s="2" t="inlineStr">
        <is>
          <t>Arizona State University</t>
        </is>
      </c>
      <c r="C22" s="3">
        <f>HYPERLINK("https://search.asu.edu/profile/bkwon2", "https://search.asu.edu/profile/bkwon2")</f>
        <v/>
      </c>
      <c r="D22" s="3">
        <f>HYPERLINK("https://scholar.google.com/citations?hl=en&amp;user=fs2d97sAAAAJ", "Scholar (fs2d97sAAAAJ)")</f>
        <v/>
      </c>
      <c r="E22" s="2" t="inlineStr">
        <is>
          <t>Associate Professor</t>
        </is>
      </c>
      <c r="F22" s="2" t="inlineStr">
        <is>
          <t>Aerospace &amp; Mechanical Engineering</t>
        </is>
      </c>
      <c r="G22" s="2" t="inlineStr">
        <is>
          <t>fs2d97sAAAAJ</t>
        </is>
      </c>
      <c r="H22" s="3">
        <f>HYPERLINK("mailto:kwon@asu.edu", "kwon@asu.edu")</f>
        <v/>
      </c>
      <c r="I22" s="2" t="n">
        <v>3</v>
      </c>
      <c r="J22" s="2" t="inlineStr">
        <is>
          <t>aerospace, energy systems, heat transfer</t>
        </is>
      </c>
      <c r="K22" s="2" t="inlineStr">
        <is>
          <t>Journal Papers 62. N. Ohashi, J. Deng, L.K. Hwang, P.K. Kang, and B. Kwon, “Physics-Informed Machine Learning for Reconstructin...</t>
        </is>
      </c>
      <c r="L22" s="2" t="inlineStr">
        <is>
          <t>"Physics-informed machine learning for reconstructing three-dimensional velocity fields from two-dimensional concentration fields" [Physics of Fluids] (2026) | "Statistically Equivalent Representative Volume Element Modeling of Carbon Nanotube–Copper Composite Fibers Based on Cross-Sectional Microstructures" [Journal of Engineering Materials and Technology] (2026) | "Physics-informed neural networks with domain decomposition for inferring velocity fields from concentration fields" [AI Thermal Fluids] (2026)</t>
        </is>
      </c>
      <c r="M22" s="2" t="inlineStr">
        <is>
          <t>"3D printing of shape-conformable thermoelectric materials using all-inorganic Bi2Te3-based inks" [Nature Energy] (2018, 353 cites) | "Machine learning for heat transfer correlations" [International Communications in Heat and Mass Transfer] (2020, 182 cites) | "High-performance shape-engineerable thermoelectric painting" [Nature Communications] (2016, 173 cites)</t>
        </is>
      </c>
      <c r="N22" s="2" t="inlineStr">
        <is>
          <t>MAE 593: Applied Project | MAE 241: Intro to Thermodynamics | MAE 598: Special Topics</t>
        </is>
      </c>
      <c r="O22" s="2" t="inlineStr"/>
      <c r="P22" s="2" t="inlineStr"/>
      <c r="Q22" s="2" t="inlineStr">
        <is>
          <t>Advanced Thermoelectric Materials and Devices, Heat Transfer and Optimization, Thermal properties of materials, Thermal Radiation and Cooling Technologies, Heat Transfer Mechanisms</t>
        </is>
      </c>
      <c r="R22" s="2" t="inlineStr">
        <is>
          <t>Transport phenomena in heat transfer systems Additive manufacturing Data-driven modeling and design</t>
        </is>
      </c>
      <c r="S22" s="2" t="inlineStr"/>
      <c r="T22" s="2" t="inlineStr">
        <is>
          <t>Kwon aims to improve the energy conversion and transport systems through the fundamental insights into transport physics, and by exploiting additive manufacturing and data-driven approaches.</t>
        </is>
      </c>
      <c r="U22" s="2" t="inlineStr">
        <is>
          <t>Ph.D. Mechanical Engineering, University of Illinois at Urbana-Champaign 2013 | M.S. Mechanical Engineering, University of Illinois at Urbana-Champaign 2009 | B.S. Mechanical and Aerospace Engineering, Seoul National University 2008</t>
        </is>
      </c>
      <c r="V22" s="2" t="inlineStr">
        <is>
          <t>3D Energy Lab</t>
        </is>
      </c>
      <c r="W22" s="3">
        <f>HYPERLINK("http://sites.google.com/view/3denergy", "http://sites.google.com/view/3denergy")</f>
        <v/>
      </c>
      <c r="X22" s="2" t="inlineStr"/>
      <c r="Y22" s="2" t="inlineStr"/>
      <c r="Z22" s="2" t="inlineStr">
        <is>
          <t>3D Printer</t>
        </is>
      </c>
      <c r="AA22" s="2" t="inlineStr">
        <is>
          <t>NSF</t>
        </is>
      </c>
      <c r="AB22" s="2" t="inlineStr"/>
      <c r="AC22" s="2" t="inlineStr">
        <is>
          <t>3D Energy Device Laboratory</t>
        </is>
      </c>
      <c r="AD22" s="2" t="inlineStr">
        <is>
          <t>551 E Tyler Mall ERC 363 (Tempe, AZ 85281)</t>
        </is>
      </c>
      <c r="AE22" s="2" t="b">
        <v>1</v>
      </c>
      <c r="AF22" s="3">
        <f>HYPERLINK("https://faculty.engineering.asu.edu/directory/semte/aerospace-and-mechanical-engineering/", "https://faculty.engineering.asu.edu/directory/semte/aerospace-and-mechanical-engineering/")</f>
        <v/>
      </c>
    </row>
    <row r="23">
      <c r="A23" s="2" t="inlineStr">
        <is>
          <t>Hamidreza Marvi</t>
        </is>
      </c>
      <c r="B23" s="2" t="inlineStr">
        <is>
          <t>Arizona State University</t>
        </is>
      </c>
      <c r="C23" s="3">
        <f>HYPERLINK("https://search.asu.edu/profile/hmarvi", "https://search.asu.edu/profile/hmarvi")</f>
        <v/>
      </c>
      <c r="D23" s="3">
        <f>HYPERLINK("https://scholar.google.com/citations?hl=en&amp;user=00Fepb0AAAAJ", "Scholar (00Fepb0AAAAJ)")</f>
        <v/>
      </c>
      <c r="E23" s="2" t="inlineStr">
        <is>
          <t>Associate Professor</t>
        </is>
      </c>
      <c r="F23" s="2" t="inlineStr">
        <is>
          <t>Aerospace &amp; Mechanical Engineering</t>
        </is>
      </c>
      <c r="G23" s="2" t="inlineStr">
        <is>
          <t>00Fepb0AAAAJ</t>
        </is>
      </c>
      <c r="H23" s="3">
        <f>HYPERLINK("mailto:hmarvi@asu.edu", "hmarvi@asu.edu")</f>
        <v/>
      </c>
      <c r="I23" s="2" t="n">
        <v>3</v>
      </c>
      <c r="J23" s="2" t="inlineStr">
        <is>
          <t>aerospace, robot, robotics</t>
        </is>
      </c>
      <c r="K23" s="2" t="inlineStr">
        <is>
          <t>Shape-programmable magnetic soft matter,</t>
        </is>
      </c>
      <c r="L23" s="2" t="inlineStr"/>
      <c r="M23" s="2" t="inlineStr"/>
      <c r="N23" s="2" t="inlineStr">
        <is>
          <t>MAE 417: System Dynamics and Control II | MAE 598: Special Topics | MAE 547: Modeling and Control of Robots</t>
        </is>
      </c>
      <c r="O23" s="2" t="inlineStr">
        <is>
          <t>KEEN Professorship, The Kern Family Foundation, 2017. | Peebles Award for Graduate Student Research in Adhesion Science, Adhesion Society, 2015.</t>
        </is>
      </c>
      <c r="P23" s="2" t="inlineStr"/>
      <c r="Q23" s="2" t="inlineStr"/>
      <c r="R23" s="2" t="inlineStr">
        <is>
          <t>Bio-inspired robotics Soft robotics Magnetic micro-robotics Mechanics of animal locomotion</t>
        </is>
      </c>
      <c r="S23" s="2" t="inlineStr"/>
      <c r="T23" s="2" t="inlineStr">
        <is>
          <t>Marvi would like to develop bio-inspired robotic systems and programmable interfacial structures for search and rescue, exploratory and medical applications.</t>
        </is>
      </c>
      <c r="U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V23" s="2" t="inlineStr">
        <is>
          <t>Bio-Inspired Robotics, Technology, and Healthcare Laboratory (BIRTH Lab)</t>
        </is>
      </c>
      <c r="W23" s="3">
        <f>HYPERLINK("http://birth.asu.edu", "http://birth.asu.edu")</f>
        <v/>
      </c>
      <c r="X23" s="2" t="inlineStr"/>
      <c r="Y23" s="2" t="inlineStr"/>
      <c r="Z23" s="2" t="inlineStr"/>
      <c r="AA23" s="2" t="inlineStr"/>
      <c r="AB23" s="2" t="inlineStr"/>
      <c r="AC23" s="2" t="inlineStr"/>
      <c r="AD23" s="2" t="inlineStr">
        <is>
          <t>Campus: Tempe</t>
        </is>
      </c>
      <c r="AE23" s="2" t="b">
        <v>1</v>
      </c>
      <c r="AF23" s="3">
        <f>HYPERLINK("https://faculty.engineering.asu.edu/directory/semte/aerospace-and-mechanical-engineering/", "https://faculty.engineering.asu.edu/directory/semte/aerospace-and-mechanical-engineering/")</f>
        <v/>
      </c>
    </row>
    <row r="24">
      <c r="A24" s="2" t="inlineStr">
        <is>
          <t>Hyunglae Lee</t>
        </is>
      </c>
      <c r="B24" s="2" t="inlineStr">
        <is>
          <t>Arizona State University</t>
        </is>
      </c>
      <c r="C24" s="3">
        <f>HYPERLINK("https://search.asu.edu/profile/hlee234", "https://search.asu.edu/profile/hlee234")</f>
        <v/>
      </c>
      <c r="D24" s="3">
        <f>HYPERLINK("https://scholar.google.com/citations?view_op=search_authors&amp;mauthors=Hyunglae%20Lee%20Arizona%20State%20University", "Google Scholar Search")</f>
        <v/>
      </c>
      <c r="E24" s="2" t="inlineStr">
        <is>
          <t>Associate Professor</t>
        </is>
      </c>
      <c r="F24" s="2" t="inlineStr">
        <is>
          <t>Aerospace &amp; Mechanical Engineering</t>
        </is>
      </c>
      <c r="G24" s="2" t="inlineStr"/>
      <c r="H24" s="3">
        <f>HYPERLINK("mailto:Hyunglae.Lee@asu.edu", "Hyunglae.Lee@asu.edu")</f>
        <v/>
      </c>
      <c r="I24" s="2" t="n">
        <v>3</v>
      </c>
      <c r="J24" s="2" t="inlineStr">
        <is>
          <t>aerospace, robot, robotics</t>
        </is>
      </c>
      <c r="K24" s="2" t="inlineStr"/>
      <c r="L24" s="2" t="inlineStr">
        <is>
          <t>"Geometric Feature Relationship-Based Knowledge Distillation for Ground Reaction Force Estimation" [Measurement] (2026) | "Consistency and robustness of virtual time-to-contact in assessing postural sway in people with multiple sclerosis" [Gait &amp; Posture] (2026) | "Understanding the Relationship Between Cutaneous Sensation, Balance, and Falls in People With Multiple Sclerosis" [Neurology Report] (2026)</t>
        </is>
      </c>
      <c r="M24" s="2" t="inlineStr">
        <is>
          <t>"Time-Varying Ankle Mechanical Impedance During Human Locomotion" [IEEE Transactions on Neural Systems and Rehabilitation Engineering] (2014, 169 cites) | "Summary of Human Ankle Mechanical Impedance During Walking" [IEEE Journal of Translational Engineering in Health and Medicine] (2016, 156 cites) | "Multivariable Dynamic Ankle Mechanical Impedance With Active Muscles" [IEEE Transactions on Neural Systems and Rehabilitation Engineering] (2014, 109 cites)</t>
        </is>
      </c>
      <c r="N24" s="2" t="inlineStr">
        <is>
          <t>MAE 598: Special Topics | MAE 417: System Dynamics and Control II | MAE 593: Applied Project</t>
        </is>
      </c>
      <c r="O24" s="2" t="inlineStr"/>
      <c r="P24" s="2" t="inlineStr"/>
      <c r="Q24" s="2" t="inlineStr">
        <is>
          <t>Muscle activation and electromyography studies, Prosthetics and Rehabilitation Robotics, Balance, Gait, and Falls Prevention, Motor Control and Adaptation, Stroke Rehabilitation and Recovery</t>
        </is>
      </c>
      <c r="R24" s="2" t="inlineStr"/>
      <c r="S24" s="2" t="inlineStr"/>
      <c r="T24" s="2" t="inlineStr">
        <is>
          <t>Lee's research interests include physical human-robot interaction, neuromuscular control of human movement, robot-aided neurorehabilitation, bio-inspired robotics and system identification for physiological systems.</t>
        </is>
      </c>
      <c r="U24" s="2" t="inlineStr">
        <is>
          <t>B.S. Mechanical and Aerospace Engineering, Seoul National University (2002) M.S. Mechanical and Aerospace Engineering, Seoul National University (2004) Ph.D Mechanical Engineering, Massachusetts Institute of Technology (2013)</t>
        </is>
      </c>
      <c r="V24" s="2" t="inlineStr"/>
      <c r="W24" s="3">
        <f>HYPERLINK("https://faculty.engineering.asu.edu/hlee", "https://faculty.engineering.asu.edu/hlee")</f>
        <v/>
      </c>
      <c r="X24" s="2" t="inlineStr"/>
      <c r="Y24" s="2" t="inlineStr"/>
      <c r="Z24" s="2" t="inlineStr"/>
      <c r="AA24" s="2" t="inlineStr"/>
      <c r="AB24" s="2" t="inlineStr"/>
      <c r="AC24" s="2" t="inlineStr"/>
      <c r="AD24" s="2" t="inlineStr">
        <is>
          <t>Campus: Tempe</t>
        </is>
      </c>
      <c r="AE24" s="2" t="b">
        <v>1</v>
      </c>
      <c r="AF24" s="3">
        <f>HYPERLINK("https://faculty.engineering.asu.edu/directory/semte/aerospace-and-mechanical-engineering/", "https://faculty.engineering.asu.edu/directory/semte/aerospace-and-mechanical-engineering/")</f>
        <v/>
      </c>
    </row>
    <row r="25">
      <c r="A25" s="2" t="inlineStr">
        <is>
          <t>Leila Ladani</t>
        </is>
      </c>
      <c r="B25" s="2" t="inlineStr">
        <is>
          <t>Arizona State University</t>
        </is>
      </c>
      <c r="C25" s="3">
        <f>HYPERLINK("https://search.asu.edu/profile/ljannesa", "https://search.asu.edu/profile/ljannesa")</f>
        <v/>
      </c>
      <c r="D25" s="3">
        <f>HYPERLINK("https://scholar.google.com/citations?view_op=search_authors&amp;mauthors=Leila%20Ladani%20Arizona%20State%20University", "Google Scholar Search")</f>
        <v/>
      </c>
      <c r="E25" s="2" t="inlineStr">
        <is>
          <t>Professor</t>
        </is>
      </c>
      <c r="F25" s="2" t="inlineStr">
        <is>
          <t>Aerospace &amp; Mechanical Engineering</t>
        </is>
      </c>
      <c r="G25" s="2" t="inlineStr"/>
      <c r="H25" s="3">
        <f>HYPERLINK("mailto:ladani@asu.edu", "ladani@asu.edu")</f>
        <v/>
      </c>
      <c r="I25" s="2" t="n">
        <v>3</v>
      </c>
      <c r="J25" s="2" t="inlineStr">
        <is>
          <t>aerospace, materials, solid mechanics</t>
        </is>
      </c>
      <c r="K25" s="2" t="inlineStr"/>
      <c r="L25" s="2" t="inlineStr">
        <is>
          <t>"Theoretical Analysis of the Process Window for Laser Powder-Bed Fusion for Infrared and Green Lasers Using Rosenthal Approximation" [Materials] (2026) | "Evaluation of Solid-State Diffusion Bonded Inconel 718 Mechanical Properties" [Journal of Innovations in Materials and Manufacturing Engineering] (2026) | "Optimization of Fused Deposition Modeling (FDM) Process for Small-Scale PEEK Medical Devices" [Journal of Manufacturing and Materials Processing] (2025)</t>
        </is>
      </c>
      <c r="M25" s="2" t="inlineStr">
        <is>
          <t>"Review of Powder Bed Fusion Additive Manufacturing for Metals" [Metals] (2021, 182 cites) | "Optimizing quality of additively manufactured Inconel 718 using powder bed laser melting process" [Additive manufacturing] (2016, 150 cites) | "Towards developing multiscale-multiphysics models and their surrogates for digital twins of metal additive manufacturing" [Additive manufacturing] (2021, 143 cites)</t>
        </is>
      </c>
      <c r="N25" s="2" t="inlineStr">
        <is>
          <t>MAE 598: Special Topics | MAE 494: Special Topics | MAE 201: Mech. Particles/Rigid Bodies I</t>
        </is>
      </c>
      <c r="O25" s="2" t="inlineStr"/>
      <c r="P25" s="2" t="inlineStr"/>
      <c r="Q25" s="2" t="inlineStr">
        <is>
          <t>Electronic Packaging and Soldering Technologies, Additive Manufacturing and 3D Printing Technologies, Additive Manufacturing Materials and Processes, Aluminum Alloys Composites Properties, Microstructure and mechanical properties</t>
        </is>
      </c>
      <c r="R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S25" s="2" t="inlineStr">
        <is>
          <t>Additive Manufacturing, Manufacturing Engineering</t>
        </is>
      </c>
      <c r="T25" s="2" t="inlineStr">
        <is>
          <t>Dr. Ladani is a Professor of Mechanical and Aerospace Engineering at Arizona State University.</t>
        </is>
      </c>
      <c r="U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V25" s="2" t="inlineStr">
        <is>
          <t>Manufacturing and Advanced Materials Characterization (MAGIC) Lab</t>
        </is>
      </c>
      <c r="W25" s="3">
        <f>HYPERLINK("https://magic.asu.edu/", "https://magic.asu.edu/")</f>
        <v/>
      </c>
      <c r="X25" s="2" t="inlineStr"/>
      <c r="Y25" s="2" t="inlineStr"/>
      <c r="Z25" s="2" t="inlineStr"/>
      <c r="AA25" s="2" t="inlineStr"/>
      <c r="AB25" s="2" t="inlineStr"/>
      <c r="AC25" s="2" t="inlineStr"/>
      <c r="AD25" s="2" t="inlineStr">
        <is>
          <t>ISTB4, ROOM 379 781 S Terrace Rd (Tempe, AZ 85287)</t>
        </is>
      </c>
      <c r="AE25" s="2" t="b">
        <v>1</v>
      </c>
      <c r="AF25" s="3">
        <f>HYPERLINK("https://faculty.engineering.asu.edu/directory/semte/aerospace-and-mechanical-engineering/", "https://faculty.engineering.asu.edu/directory/semte/aerospace-and-mechanical-engineering/")</f>
        <v/>
      </c>
    </row>
    <row r="26">
      <c r="A26" s="2" t="inlineStr">
        <is>
          <t>Patrick Phelan</t>
        </is>
      </c>
      <c r="B26" s="2" t="inlineStr">
        <is>
          <t>Arizona State University</t>
        </is>
      </c>
      <c r="C26" s="3">
        <f>HYPERLINK("https://search.asu.edu/profile/pphelan", "https://search.asu.edu/profile/pphelan")</f>
        <v/>
      </c>
      <c r="D26" s="3">
        <f>HYPERLINK("https://scholar.google.com/citations?view_op=search_authors&amp;mauthors=Patrick%20Phelan%20Arizona%20State%20University", "Google Scholar Search")</f>
        <v/>
      </c>
      <c r="E26" s="2" t="inlineStr">
        <is>
          <t>Professor</t>
        </is>
      </c>
      <c r="F26" s="2" t="inlineStr">
        <is>
          <t>Aerospace &amp; Mechanical Engineering</t>
        </is>
      </c>
      <c r="G26" s="2" t="inlineStr"/>
      <c r="H26" s="3">
        <f>HYPERLINK("mailto:phelan@asu.edu", "phelan@asu.edu")</f>
        <v/>
      </c>
      <c r="I26" s="2" t="n">
        <v>3</v>
      </c>
      <c r="J26" s="2" t="inlineStr">
        <is>
          <t>aerospace, energy systems, thermal</t>
        </is>
      </c>
      <c r="K26" s="2" t="inlineStr">
        <is>
          <t>Please see my publications at Google Scholar .</t>
        </is>
      </c>
      <c r="L26" s="2" t="inlineStr">
        <is>
          <t>"Dynamic Energy Simulation for a Tiny House Targeting a Net Zero-Energy Building" [Journal of Innovative Science and Engineering (JISE)] (2026) | "Heat Transfer Enhancement with Low-Concentration CuO/Water Nanofluid and Ultrasonic Energy: An Experimental Study" [International Journal of Thermophysics] (2025) | "Performance enhancement of photovoltaic panels using rotating elliptic enclosures filled with phase change material" [Numerical Heat Transfer Part A Applications] (2025)</t>
        </is>
      </c>
      <c r="M26" s="2" t="inlineStr">
        <is>
          <t>"Recent developments in phase change materials for energy storage applications: A review" [International Journal of Heat and Mass Transfer] (2018, 1518 cites) | "Thermal Conductivity of Nanoscale Colloidal Solutions (Nanofluids)" [Physical Review Letters] (2005, 921 cites) | "Nanofluid-based direct absorption solar collector" [Journal of Renewable and Sustainable Energy] (2010, 879 cites)</t>
        </is>
      </c>
      <c r="N26" s="2" t="inlineStr">
        <is>
          <t>MAE 593: Applied Project | MAE 494: Special Topics | MAE 598: Special Topics</t>
        </is>
      </c>
      <c r="O26" s="2" t="inlineStr"/>
      <c r="P26" s="2" t="inlineStr"/>
      <c r="Q26" s="2" t="inlineStr">
        <is>
          <t>Heat Transfer and Optimization, Solar Thermal and Photovoltaic Systems, Nanofluid Flow and Heat Transfer, Solar-Powered Water Purification Methods, Thermal properties of materials</t>
        </is>
      </c>
      <c r="R26" s="2" t="inlineStr">
        <is>
          <t>Thermal engineering, sustainable energy systems, energy management, sustainable cooling systems.</t>
        </is>
      </c>
      <c r="S26" s="2" t="inlineStr">
        <is>
          <t>Building Technology, Solar Energy Systems, Energy Efficiency Technologies, Mechanical Engineering</t>
        </is>
      </c>
      <c r="T26" s="2" t="inlineStr">
        <is>
          <t>Phelan researches and teaches in the area of sustainable energy, thermal transport and thermal management.</t>
        </is>
      </c>
      <c r="U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V26" s="2" t="inlineStr"/>
      <c r="W26" s="2" t="inlineStr"/>
      <c r="X26" s="2" t="inlineStr"/>
      <c r="Y26" s="2" t="inlineStr"/>
      <c r="Z26" s="2" t="inlineStr"/>
      <c r="AA26" s="2" t="inlineStr"/>
      <c r="AB26" s="2" t="inlineStr"/>
      <c r="AC26" s="2" t="inlineStr"/>
      <c r="AD26" s="2" t="inlineStr">
        <is>
          <t>ENGRC 463 (TEMPE, AZ 85287-6106)</t>
        </is>
      </c>
      <c r="AE26" s="2" t="b">
        <v>1</v>
      </c>
      <c r="AF26" s="3">
        <f>HYPERLINK("https://faculty.engineering.asu.edu/directory/semte/aerospace-and-mechanical-engineering/", "https://faculty.engineering.asu.edu/directory/semte/aerospace-and-mechanical-engineering/")</f>
        <v/>
      </c>
    </row>
    <row r="27">
      <c r="A27" s="2" t="inlineStr">
        <is>
          <t>Yulia Peet</t>
        </is>
      </c>
      <c r="B27" s="2" t="inlineStr">
        <is>
          <t>Arizona State University</t>
        </is>
      </c>
      <c r="C27" s="3">
        <f>HYPERLINK("https://search.asu.edu/profile/ypeet", "https://search.asu.edu/profile/ypeet")</f>
        <v/>
      </c>
      <c r="D27" s="3">
        <f>HYPERLINK("https://scholar.google.com/citations?hl=en&amp;user=_6o8MrUAAAAJ", "Scholar (_6o8MrUAAAAJ)")</f>
        <v/>
      </c>
      <c r="E27" s="2" t="inlineStr">
        <is>
          <t>Professor</t>
        </is>
      </c>
      <c r="F27" s="2" t="inlineStr">
        <is>
          <t>Aerospace &amp; Mechanical Engineering</t>
        </is>
      </c>
      <c r="G27" s="2" t="inlineStr">
        <is>
          <t>_6o8MrUAAAAJ</t>
        </is>
      </c>
      <c r="H27" s="3">
        <f>HYPERLINK("mailto:ypeet@asu.edu", "ypeet@asu.edu")</f>
        <v/>
      </c>
      <c r="I27" s="2" t="n">
        <v>3</v>
      </c>
      <c r="J27" s="2" t="inlineStr">
        <is>
          <t>aerospace, fluid mechanics, turbulence</t>
        </is>
      </c>
      <c r="K27" s="2" t="inlineStr"/>
      <c r="L27" s="2" t="inlineStr">
        <is>
          <t>"Correction: Using Streamwise and Spanwise Shear Stress Components in Wall-Sensing Drag Reduction Control of Turbulent Channel Flow" (2026) | "Using Streamwise and Spanwise Shear Stress Components in Wall-Sensing Drag Reduction Control of Turbulent Channel Flow" (2026) | "Inflectional Instability of Linearized Incompressible Euler Equations via Linear Partial Inequality Tests" (2025)</t>
        </is>
      </c>
      <c r="M27" s="2" t="inlineStr">
        <is>
          <t>"Theoretical prediction of turbulent skin friction on geometrically complex surfaces" [Physics of Fluids] (2009, 78 cites) | "Turbulent Drag Reduction Using Sinusoidal Riblets With Triangular Cross-Section" [38th Fluid Dynamics Conference and Exhibit] (2008, 56 cites) | "Pressure loss reduction in hydrogen pipelines by surface restructuring" [International Journal of Hydrogen Energy] (2009, 46 cites)</t>
        </is>
      </c>
      <c r="N27" s="2" t="inlineStr">
        <is>
          <t>MAE 215: Intro to Programming in MATLAB | MAE 591: Seminar | MAE 593: Applied Project</t>
        </is>
      </c>
      <c r="O27" s="2" t="inlineStr"/>
      <c r="P27" s="2" t="inlineStr"/>
      <c r="Q27" s="2" t="inlineStr">
        <is>
          <t>Fluid Dynamics and Turbulent Flows, Fluid Dynamics and Vibration Analysis, Wind and Air Flow Studies, Computational Fluid Dynamics and Aerodynamics, Wind Energy Research and Development</t>
        </is>
      </c>
      <c r="R27" s="2" t="inlineStr"/>
      <c r="S27" s="2" t="inlineStr"/>
      <c r="T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U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V27" s="2" t="inlineStr">
        <is>
          <t>Interdisciplinary Simulation and Modeling (ISiM) Lab</t>
        </is>
      </c>
      <c r="W27" s="3">
        <f>HYPERLINK("https://isim.asu.edu", "https://isim.asu.edu")</f>
        <v/>
      </c>
      <c r="X27" s="2" t="inlineStr"/>
      <c r="Y27" s="2" t="inlineStr"/>
      <c r="Z27" s="2" t="inlineStr"/>
      <c r="AA27" s="2" t="inlineStr"/>
      <c r="AB27" s="2" t="inlineStr"/>
      <c r="AC27" s="2" t="inlineStr"/>
      <c r="AD27" s="2" t="inlineStr">
        <is>
          <t>ENGRC 379 (Tempe, AZ 85287-6106)</t>
        </is>
      </c>
      <c r="AE27" s="2" t="b">
        <v>1</v>
      </c>
      <c r="AF27" s="3">
        <f>HYPERLINK("https://faculty.engineering.asu.edu/directory/semte/aerospace-and-mechanical-engineering/", "https://faculty.engineering.asu.edu/directory/semte/aerospace-and-mechanical-engineering/")</f>
        <v/>
      </c>
    </row>
    <row r="28">
      <c r="A28" s="2" t="inlineStr">
        <is>
          <t>Houlong Zhuang</t>
        </is>
      </c>
      <c r="B28" s="2" t="inlineStr">
        <is>
          <t>Arizona State University</t>
        </is>
      </c>
      <c r="C28" s="3">
        <f>HYPERLINK("https://search.asu.edu/profile/hzhuang7", "https://search.asu.edu/profile/hzhuang7")</f>
        <v/>
      </c>
      <c r="D28" s="3">
        <f>HYPERLINK("https://scholar.google.com/citations?hl=en&amp;user=4yYKCpUAAAAJ", "Scholar (4yYKCpUAAAAJ)")</f>
        <v/>
      </c>
      <c r="E28" s="2" t="inlineStr">
        <is>
          <t>Associate Professor</t>
        </is>
      </c>
      <c r="F28" s="2" t="inlineStr">
        <is>
          <t>Aerospace &amp; Mechanical Engineering</t>
        </is>
      </c>
      <c r="G28" s="2" t="inlineStr">
        <is>
          <t>4yYKCpUAAAAJ</t>
        </is>
      </c>
      <c r="H28" s="3">
        <f>HYPERLINK("mailto:zhuanghl@asu.edu", "zhuanghl@asu.edu")</f>
        <v/>
      </c>
      <c r="I28" s="2" t="n">
        <v>2</v>
      </c>
      <c r="J28" s="2" t="inlineStr">
        <is>
          <t>aerospace, materials</t>
        </is>
      </c>
      <c r="K28" s="2" t="inlineStr"/>
      <c r="L28" s="2" t="inlineStr">
        <is>
          <t>"Large Language Model Assisted Discovery of Optimal Dopants for Enhanced Thermoelectric Performance in CoSb$_3$ Based Skutterudites" [arXiv (Cornell University)] (2026) | "Large Language Model Assisted Discovery of Optimal Dopants for Enhanced Thermoelectric Performance in CoSb$_3$ Based Skutterudites" [arXiv (Cornell University)] (2026) | "AI and 3D printing help researchers create heat- and pressure-resistant materials for aerospace and defense applications" (2026)</t>
        </is>
      </c>
      <c r="M28" s="2" t="inlineStr">
        <is>
          <t>"Prediction and Characterization of MXene Nanosheet Anodes for Non-Lithium-Ion Batteries" [ACS Nano] (2014, 1046 cites) | "Single-Layer Group-III Monochalcogenide Photocatalysts for Water Splitting" [Chemistry of Materials] (2013, 852 cites) | "Computational Screening of 2D Materials for Photocatalysis" [The Journal of Physical Chemistry Letters] (2015, 833 cites)</t>
        </is>
      </c>
      <c r="N28" s="2" t="inlineStr">
        <is>
          <t>MAE 551: Appl Machine Learn Mech Engr | MAE 451: Appl Machine Learn Mech Engr | MAE 202: Mech.Particles/Rigid Bodies II</t>
        </is>
      </c>
      <c r="O28" s="2" t="inlineStr"/>
      <c r="P28" s="2" t="inlineStr"/>
      <c r="Q28" s="2" t="inlineStr">
        <is>
          <t>2D Materials and Applications, Graphene research and applications, MXene and MAX Phase Materials, Advancements in Battery Materials, Advanced Battery Materials and Technologies</t>
        </is>
      </c>
      <c r="R28" s="2" t="inlineStr">
        <is>
          <t>Quantum simulations Machine learning Quantum computing</t>
        </is>
      </c>
      <c r="S28" s="2" t="inlineStr">
        <is>
          <t>Artificial Photosynthesis, Chemistry, Computational Physics, Machine Learning, Materials Science, Metals, Nanoscience, Semiconductors</t>
        </is>
      </c>
      <c r="T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U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V28" s="2" t="inlineStr">
        <is>
          <t>Computational Materials Science and Design Lab</t>
        </is>
      </c>
      <c r="W28" s="2" t="inlineStr"/>
      <c r="X28" s="2" t="inlineStr"/>
      <c r="Y28" s="2" t="inlineStr"/>
      <c r="Z28" s="2" t="inlineStr"/>
      <c r="AA28" s="2" t="inlineStr"/>
      <c r="AB28" s="2" t="inlineStr"/>
      <c r="AC28" s="2" t="inlineStr"/>
      <c r="AD28" s="2" t="inlineStr">
        <is>
          <t>Campus: Tempe</t>
        </is>
      </c>
      <c r="AE28" s="2" t="b">
        <v>1</v>
      </c>
      <c r="AF28" s="3">
        <f>HYPERLINK("https://faculty.engineering.asu.edu/directory/semte/aerospace-and-mechanical-engineering/", "https://faculty.engineering.asu.edu/directory/semte/aerospace-and-mechanical-engineering/")</f>
        <v/>
      </c>
    </row>
    <row r="29">
      <c r="A29" s="2" t="inlineStr">
        <is>
          <t>Huei-Ping Huang</t>
        </is>
      </c>
      <c r="B29" s="2" t="inlineStr">
        <is>
          <t>Arizona State University</t>
        </is>
      </c>
      <c r="C29" s="3">
        <f>HYPERLINK("https://search.asu.edu/profile/hhuang38", "https://search.asu.edu/profile/hhuang38")</f>
        <v/>
      </c>
      <c r="D29" s="3">
        <f>HYPERLINK("https://scholar.google.com/citations?view_op=search_authors&amp;mauthors=Huei-Ping%20Huang%20Arizona%20State%20University", "Google Scholar Search")</f>
        <v/>
      </c>
      <c r="E29" s="2" t="inlineStr">
        <is>
          <t>Associate Professor</t>
        </is>
      </c>
      <c r="F29" s="2" t="inlineStr">
        <is>
          <t>Aerospace &amp; Mechanical Engineering</t>
        </is>
      </c>
      <c r="G29" s="2" t="inlineStr"/>
      <c r="H29" s="3">
        <f>HYPERLINK("mailto:Huei-Ping.Huang@asu.edu", "Huei-Ping.Huang@asu.edu")</f>
        <v/>
      </c>
      <c r="I29" s="2" t="n">
        <v>2</v>
      </c>
      <c r="J29" s="2" t="inlineStr">
        <is>
          <t>aerospace, fluid dynamics</t>
        </is>
      </c>
      <c r="K29" s="2" t="inlineStr"/>
      <c r="L29" s="2" t="inlineStr">
        <is>
          <t>"Analysis of severe droughts in Taiwan using vegetation indices from geostationary satellite observations" [Research Square] (2025) | "The Effect of Bifurcated Geometry on the Diodicity of Tesla Valves" [Fluids] (2024)</t>
        </is>
      </c>
      <c r="M29" s="2" t="inlineStr">
        <is>
          <t>"Model Projections of an Imminent Transition to a More Arid Climate in Southwestern North America" [Science] (2007, 2108 cites) | "Changes in storm tracks and energy transports in a warmer climate simulated by the GFDL CM2.1 model" [Climate Dynamics] (2010, 147 cites) | "Two-Dimensional Turbulence and Persistent Zonal Jets in a Global Barotropic Model" [Journal of the Atmospheric Sciences] (1998, 145 cites)</t>
        </is>
      </c>
      <c r="N29" s="2" t="inlineStr">
        <is>
          <t>MAE 502: Partial Diff Equations Engr | MAE 460: Applied Comput Fluid Dynamics | MAE 593: Applied Project</t>
        </is>
      </c>
      <c r="O29" s="2" t="inlineStr"/>
      <c r="P29" s="2" t="inlineStr"/>
      <c r="Q29" s="2" t="inlineStr">
        <is>
          <t>Climate variability and models, Meteorological Phenomena and Simulations, Oceanographic and Atmospheric Processes, Atmospheric and Environmental Gas Dynamics, Geophysics and Gravity Measurements</t>
        </is>
      </c>
      <c r="R29" s="2" t="inlineStr"/>
      <c r="S29" s="2" t="inlineStr"/>
      <c r="T29" s="2" t="inlineStr">
        <is>
          <t>Huang's research interests are geophysical and environmental fluid dynamics, numerical simulation of atmospheric and oceanic flows, Earth system remote sensing, and climate change.</t>
        </is>
      </c>
      <c r="U29" s="2" t="inlineStr">
        <is>
          <t>Ph.D. University of Illinois-Urbana-Champaign 1997 | M.S. National Taiwan University 1989 | B.S. National Central University,Taiwan 1987</t>
        </is>
      </c>
      <c r="V29" s="2" t="inlineStr"/>
      <c r="W29" s="3">
        <f>HYPERLINK("http://www.public.asu.edu/~hhuang38", "http://www.public.asu.edu/~hhuang38")</f>
        <v/>
      </c>
      <c r="X29" s="2" t="inlineStr"/>
      <c r="Y29" s="2" t="inlineStr"/>
      <c r="Z29" s="2" t="inlineStr"/>
      <c r="AA29" s="2" t="inlineStr"/>
      <c r="AB29" s="2" t="inlineStr"/>
      <c r="AC29" s="2" t="inlineStr">
        <is>
          <t>Log in to www_public</t>
        </is>
      </c>
      <c r="AD29" s="2" t="inlineStr">
        <is>
          <t>ENGRC 359 (Tempe, AZ 85287-6106)</t>
        </is>
      </c>
      <c r="AE29" s="2" t="b">
        <v>1</v>
      </c>
      <c r="AF29" s="3">
        <f>HYPERLINK("https://faculty.engineering.asu.edu/directory/semte/aerospace-and-mechanical-engineering/", "https://faculty.engineering.asu.edu/directory/semte/aerospace-and-mechanical-engineering/")</f>
        <v/>
      </c>
    </row>
    <row r="30">
      <c r="A30" s="2" t="inlineStr">
        <is>
          <t>Jagannathan Rajagopalan</t>
        </is>
      </c>
      <c r="B30" s="2" t="inlineStr">
        <is>
          <t>Arizona State University</t>
        </is>
      </c>
      <c r="C30" s="3">
        <f>HYPERLINK("https://search.asu.edu/profile/jrajago1", "https://search.asu.edu/profile/jrajago1")</f>
        <v/>
      </c>
      <c r="D30" s="3">
        <f>HYPERLINK("https://scholar.google.com/citations?hl=en&amp;user=ClqRIhIAAAAJ", "Scholar (ClqRIhIAAAAJ)")</f>
        <v/>
      </c>
      <c r="E30" s="2" t="inlineStr">
        <is>
          <t>Associate Professor</t>
        </is>
      </c>
      <c r="F30" s="2" t="inlineStr">
        <is>
          <t>Aerospace &amp; Mechanical Engineering</t>
        </is>
      </c>
      <c r="G30" s="2" t="inlineStr">
        <is>
          <t>ClqRIhIAAAAJ</t>
        </is>
      </c>
      <c r="H30" s="3">
        <f>HYPERLINK("mailto:Jagannathan.Rajagopalan@asu.edu", "Jagannathan.Rajagopalan@asu.edu")</f>
        <v/>
      </c>
      <c r="I30" s="2" t="n">
        <v>2</v>
      </c>
      <c r="J30" s="2" t="inlineStr">
        <is>
          <t>aerospace, materials</t>
        </is>
      </c>
      <c r="K30" s="2" t="inlineStr"/>
      <c r="L30" s="2" t="inlineStr"/>
      <c r="M30" s="2" t="inlineStr"/>
      <c r="N30" s="2" t="inlineStr">
        <is>
          <t>MAE 593: Applied Project | MAE 519: Mechanics of Micro/Nano System | MAE 213: Mechanics of Materials</t>
        </is>
      </c>
      <c r="O30" s="2" t="inlineStr">
        <is>
          <t>2017 Best poster award at the TMS Annual Meeting. 2015 NSF CAREER award. 2010 Keynote presentation, U.S. National Congre</t>
        </is>
      </c>
      <c r="P30" s="2" t="inlineStr"/>
      <c r="Q30" s="2" t="inlineStr">
        <is>
          <t>Microstructure and mechanical properties, Metal and Thin Film Mechanics, Aluminum Alloys Composites Properties, Force Microscopy Techniques and Applications, Cellular Mechanics and Interactions</t>
        </is>
      </c>
      <c r="R30" s="2" t="inlineStr">
        <is>
          <t>Synthesis of nanocrystalline materials with tailored microstructures, Mechanics of nanostructured metal and alloy films, MEMS for in situ materials testing, Polymer based micro devices for cell mechanics and biohybrid platforms</t>
        </is>
      </c>
      <c r="S30" s="2" t="inlineStr">
        <is>
          <t>Thin Film Materials, Materials Science, Mechanical Engineering</t>
        </is>
      </c>
      <c r="T30" s="2" t="inlineStr">
        <is>
          <t>Rajagopalan's research focuses on the mechanics of nanoscale materials, cells and biological systems.</t>
        </is>
      </c>
      <c r="U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V30" s="2" t="inlineStr">
        <is>
          <t>Nanomechanics Laboratory</t>
        </is>
      </c>
      <c r="W30" s="3">
        <f>HYPERLINK("http://faculty.engineering.asu.edu/jagan/", "http://faculty.engineering.asu.edu/jagan/")</f>
        <v/>
      </c>
      <c r="X30" s="2" t="inlineStr"/>
      <c r="Y30" s="2" t="inlineStr"/>
      <c r="Z30" s="2" t="inlineStr"/>
      <c r="AA30" s="2" t="inlineStr"/>
      <c r="AB30" s="2" t="inlineStr"/>
      <c r="AC30" s="2" t="inlineStr">
        <is>
          <t>Nanostructured Materials</t>
        </is>
      </c>
      <c r="AD30" s="2" t="inlineStr">
        <is>
          <t>ENGRC 355 (Tempe, AZ 85287-6106)</t>
        </is>
      </c>
      <c r="AE30" s="2" t="b">
        <v>1</v>
      </c>
      <c r="AF30" s="3">
        <f>HYPERLINK("https://faculty.engineering.asu.edu/directory/semte/aerospace-and-mechanical-engineering/", "https://faculty.engineering.asu.edu/directory/semte/aerospace-and-mechanical-engineering/")</f>
        <v/>
      </c>
    </row>
    <row r="31">
      <c r="A31" s="2" t="inlineStr">
        <is>
          <t>Konrad Rykaczewski</t>
        </is>
      </c>
      <c r="B31" s="2" t="inlineStr">
        <is>
          <t>Arizona State University</t>
        </is>
      </c>
      <c r="C31" s="3">
        <f>HYPERLINK("https://search.asu.edu/profile/krykacze", "https://search.asu.edu/profile/krykacze")</f>
        <v/>
      </c>
      <c r="D31" s="3">
        <f>HYPERLINK("https://scholar.google.com/citations?hl=en&amp;user=SWeAf4UAAAAJ", "Scholar (SWeAf4UAAAAJ)")</f>
        <v/>
      </c>
      <c r="E31" s="2" t="inlineStr">
        <is>
          <t>Associate Professor</t>
        </is>
      </c>
      <c r="F31" s="2" t="inlineStr">
        <is>
          <t>Aerospace &amp; Mechanical Engineering</t>
        </is>
      </c>
      <c r="G31" s="2" t="inlineStr">
        <is>
          <t>SWeAf4UAAAAJ</t>
        </is>
      </c>
      <c r="H31" s="3">
        <f>HYPERLINK("mailto:konradr@asu.edu", "konradr@asu.edu")</f>
        <v/>
      </c>
      <c r="I31" s="2" t="n">
        <v>2</v>
      </c>
      <c r="J31" s="2" t="inlineStr">
        <is>
          <t>materials, thermal</t>
        </is>
      </c>
      <c r="K31" s="2" t="inlineStr"/>
      <c r="L31" s="2" t="inlineStr"/>
      <c r="M31" s="2" t="inlineStr"/>
      <c r="N31" s="2" t="inlineStr">
        <is>
          <t>MAE 593: Applied Project | MAE 499: Individualized Instruction | MAE 586: Advanced Heat Transfer</t>
        </is>
      </c>
      <c r="O31" s="2" t="inlineStr"/>
      <c r="P31" s="2" t="inlineStr"/>
      <c r="Q31" s="2" t="inlineStr"/>
      <c r="R31" s="2" t="inlineStr"/>
      <c r="S31" s="2" t="inlineStr"/>
      <c r="T31" s="2" t="inlineStr">
        <is>
          <t>Rykaczewski's research focuses on development of soft thermal materials and system as well as studying human thermal exposure in extreme heat.</t>
        </is>
      </c>
      <c r="U31" s="2" t="inlineStr">
        <is>
          <t>Ph.D. Mechanical Engineering, Georgia Institute of Technology 2009 | M.S. Mechanical Engineering, Georgia Institute of Technology 2007 | B.S. Mechanical Engineering, Georgia Institute of Technology 2005</t>
        </is>
      </c>
      <c r="V31" s="2" t="inlineStr">
        <is>
          <t>Nano-Bio-Thermal Engineering Laboratory</t>
        </is>
      </c>
      <c r="W31" s="3">
        <f>HYPERLINK("http://faculty.engineering.asu.edu/konrad/", "http://faculty.engineering.asu.edu/konrad/")</f>
        <v/>
      </c>
      <c r="X31" s="2" t="inlineStr"/>
      <c r="Y31" s="2" t="inlineStr"/>
      <c r="Z31" s="2" t="inlineStr"/>
      <c r="AA31" s="2" t="inlineStr"/>
      <c r="AB31" s="2" t="inlineStr"/>
      <c r="AC31" s="2" t="inlineStr">
        <is>
          <t>Rykaczewski Lab</t>
        </is>
      </c>
      <c r="AD31" s="2" t="inlineStr">
        <is>
          <t>ENGRC 309 (Tempe, AZ 85287)</t>
        </is>
      </c>
      <c r="AE31" s="2" t="b">
        <v>1</v>
      </c>
      <c r="AF31" s="3">
        <f>HYPERLINK("https://faculty.engineering.asu.edu/directory/semte/aerospace-and-mechanical-engineering/", "https://faculty.engineering.asu.edu/directory/semte/aerospace-and-mechanical-engineering/")</f>
        <v/>
      </c>
    </row>
    <row r="32">
      <c r="A32" s="2" t="inlineStr">
        <is>
          <t>Minglei Qu</t>
        </is>
      </c>
      <c r="B32" s="2" t="inlineStr">
        <is>
          <t>Arizona State University</t>
        </is>
      </c>
      <c r="C32" s="3">
        <f>HYPERLINK("https://search.asu.edu/profile/mingleiq", "https://search.asu.edu/profile/mingleiq")</f>
        <v/>
      </c>
      <c r="D32" s="3">
        <f>HYPERLINK("https://scholar.google.com/citations?hl=en&amp;user=9LWNC50AAAAJ", "Scholar (9LWNC50AAAAJ)")</f>
        <v/>
      </c>
      <c r="E32" s="2" t="inlineStr">
        <is>
          <t>Assistant Professor</t>
        </is>
      </c>
      <c r="F32" s="2" t="inlineStr">
        <is>
          <t>Aerospace &amp; Mechanical Engineering</t>
        </is>
      </c>
      <c r="G32" s="2" t="inlineStr">
        <is>
          <t>9LWNC50AAAAJ</t>
        </is>
      </c>
      <c r="H32" s="3">
        <f>HYPERLINK("mailto:minglei.qu@asu.edu", "minglei.qu@asu.edu")</f>
        <v/>
      </c>
      <c r="I32" s="2" t="n">
        <v>2</v>
      </c>
      <c r="J32" s="2" t="inlineStr">
        <is>
          <t>composites, materials</t>
        </is>
      </c>
      <c r="K32" s="2" t="inlineStr"/>
      <c r="L32" s="2" t="inlineStr">
        <is>
          <t>"Measurement of temperature evolution inside melt pool during laser powder bed fusion" [Additive manufacturing] (2026) | "Site-specific hydrogen atom transfer mechanism of astaxanthin in hydroxyl radical scavenging: Integrated spectroscopic and DFT insights" [APL Materials] (2026) | "Numerical Shape Optimization of Auxetic Structures through Cross-sectional Mass Redistribution" [SSRN Electronic Journal] (2026)</t>
        </is>
      </c>
      <c r="M32" s="2" t="inlineStr">
        <is>
          <t>"Pore elimination mechanisms during 3D printing of metals" [Nature Communications] (2019, 414 cites) | "Direct observation of pore formation mechanisms during LPBF additive manufacturing process and high energy density laser welding" [International Journal of Machine Tools and Manufacture] (2020, 314 cites) | "In-situ full-field mapping of melt flow dynamics in laser metal additive manufacturing" [Additive manufacturing] (2019, 255 cites)</t>
        </is>
      </c>
      <c r="N32" s="2" t="inlineStr">
        <is>
          <t>MAE 213: Mechanics of Materials | MAE 598: Special Topics</t>
        </is>
      </c>
      <c r="O32" s="2" t="inlineStr"/>
      <c r="P32" s="2" t="inlineStr"/>
      <c r="Q32" s="2" t="inlineStr">
        <is>
          <t>Additive Manufacturing Materials and Processes, Additive Manufacturing and 3D Printing Technologies, Welding Techniques and Residual Stresses, Laser-induced spectroscopy and plasma, Laser Material Processing Techniques</t>
        </is>
      </c>
      <c r="R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S32" s="2" t="inlineStr"/>
      <c r="T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U32" s="2" t="inlineStr">
        <is>
          <t>PhD. Mechanical Engineering, University of Wisconsin-Madison 2023</t>
        </is>
      </c>
      <c r="V32" s="2" t="inlineStr"/>
      <c r="W32" s="2" t="inlineStr"/>
      <c r="X32" s="2" t="inlineStr"/>
      <c r="Y32" s="2" t="inlineStr"/>
      <c r="Z32" s="2" t="inlineStr"/>
      <c r="AA32" s="2" t="inlineStr"/>
      <c r="AB32" s="2" t="inlineStr"/>
      <c r="AC32" s="2" t="inlineStr"/>
      <c r="AD32" s="2" t="inlineStr">
        <is>
          <t>Campus: Tempe</t>
        </is>
      </c>
      <c r="AE32" s="2" t="b">
        <v>1</v>
      </c>
      <c r="AF32" s="3">
        <f>HYPERLINK("https://faculty.engineering.asu.edu/directory/semte/aerospace-and-mechanical-engineering/", "https://faculty.engineering.asu.edu/directory/semte/aerospace-and-mechanical-engineering/")</f>
        <v/>
      </c>
    </row>
    <row r="33">
      <c r="A33" s="2" t="inlineStr">
        <is>
          <t>Qiong Nian</t>
        </is>
      </c>
      <c r="B33" s="2" t="inlineStr">
        <is>
          <t>Arizona State University</t>
        </is>
      </c>
      <c r="C33" s="3">
        <f>HYPERLINK("https://search.asu.edu/profile/qnian", "https://search.asu.edu/profile/qnian")</f>
        <v/>
      </c>
      <c r="D33" s="3">
        <f>HYPERLINK("https://scholar.google.com/citations?view_op=search_authors&amp;mauthors=Qiong%20Nian%20Arizona%20State%20University", "Google Scholar Search")</f>
        <v/>
      </c>
      <c r="E33" s="2" t="inlineStr">
        <is>
          <t>Associate Professor</t>
        </is>
      </c>
      <c r="F33" s="2" t="inlineStr">
        <is>
          <t>Aerospace &amp; Mechanical Engineering</t>
        </is>
      </c>
      <c r="G33" s="2" t="inlineStr"/>
      <c r="H33" s="3">
        <f>HYPERLINK("mailto:Qiong.Nian@asu.edu", "Qiong.Nian@asu.edu")</f>
        <v/>
      </c>
      <c r="I33" s="2" t="n">
        <v>2</v>
      </c>
      <c r="J33" s="2" t="inlineStr">
        <is>
          <t>aerospace, materials</t>
        </is>
      </c>
      <c r="K33" s="2" t="inlineStr"/>
      <c r="L33" s="2" t="inlineStr">
        <is>
          <t>"Mechanical behaviors and predictable fracture modes of ultralight NiTi Gyroid lattice metamaterials fabricated by laser powder bed fusion" [Additive Manufacturing Frontiers] (2026) | "Numerical Shape Optimization of Auxetic Structures through Cross-sectional Mass Redistribution" [SSRN Electronic Journal] (2026) | "Numerical Shape Optimization of Auxetic Structures through Cross-sectional Mass Redistribution" [SSRN Electronic Journal] (2026)</t>
        </is>
      </c>
      <c r="M33" s="2" t="inlineStr">
        <is>
          <t>"3D printing graphene-aluminum nanocomposites" [Journal of Alloys and Compounds] (2018, 170 cites) | "3D Printing‐Enabled Nanoparticle Alignment: A Review of Mechanisms and Applications" [Small] (2021, 168 cites) | "Flyweight, Superelastic, Electrically Conductive, and Flame‐Retardant 3D Multi‐Nanolayer Graphene/Ceramic Metamaterial" [Advanced Materials] (2017, 137 cites)</t>
        </is>
      </c>
      <c r="N33" s="2" t="inlineStr">
        <is>
          <t>MAE 593: Applied Project | MAE 545: Modern Manufacturing Methods | MAE 499: Individualized Instruction</t>
        </is>
      </c>
      <c r="O33" s="2" t="inlineStr"/>
      <c r="P33" s="2" t="inlineStr"/>
      <c r="Q33" s="2" t="inlineStr">
        <is>
          <t>Graphene research and applications, Additive Manufacturing and 3D Printing Technologies, Laser-Ablation Synthesis of Nanoparticles, Quantum Dots Synthesis And Properties, Chalcogenide Semiconductor Thin Films</t>
        </is>
      </c>
      <c r="R33" s="2" t="inlineStr">
        <is>
          <t>Nanomanufacturing, additive manufacturing, laser-based material processing, laser matter interaction and physics simulation; inkjet printing of functional materials; and 2D materials fabrication for energy storage and bio-sensors.</t>
        </is>
      </c>
      <c r="S33" s="2" t="inlineStr">
        <is>
          <t>Additive Manufacturing, Manufacturing Engineering, Mechanical Engineering</t>
        </is>
      </c>
      <c r="T33" s="2" t="inlineStr">
        <is>
          <t>Nian's research interests include additive manufacturing, laser-based manufacturing and material processing, laser matter interaction and physics simulation, and functional materials for energy storage and bio-sensors.</t>
        </is>
      </c>
      <c r="U33" s="2" t="inlineStr">
        <is>
          <t>Ph.D. Manufacturing, Industrial Engineering, Purdue University 2015 | B.Sc. Materials Science and Engineering, University of Science and Technology of China 2009</t>
        </is>
      </c>
      <c r="V33" s="2" t="inlineStr"/>
      <c r="W33" s="3">
        <f>HYPERLINK("https://mmmplab.engineering.asu.edu/", "https://mmmplab.engineering.asu.edu/")</f>
        <v/>
      </c>
      <c r="X33" s="2" t="inlineStr"/>
      <c r="Y33" s="2" t="inlineStr"/>
      <c r="Z33" s="2" t="inlineStr"/>
      <c r="AA33" s="2" t="inlineStr"/>
      <c r="AB33" s="2" t="inlineStr"/>
      <c r="AC33" s="2" t="inlineStr"/>
      <c r="AD33" s="2" t="inlineStr">
        <is>
          <t>Campus: Tempe</t>
        </is>
      </c>
      <c r="AE33" s="2" t="b">
        <v>1</v>
      </c>
      <c r="AF33" s="3">
        <f>HYPERLINK("https://faculty.engineering.asu.edu/directory/semte/aerospace-and-mechanical-engineering/", "https://faculty.engineering.asu.edu/directory/semte/aerospace-and-mechanical-engineering/")</f>
        <v/>
      </c>
    </row>
    <row r="34">
      <c r="A34" s="2" t="inlineStr">
        <is>
          <t>Ronald Calhoun</t>
        </is>
      </c>
      <c r="B34" s="2" t="inlineStr">
        <is>
          <t>Arizona State University</t>
        </is>
      </c>
      <c r="C34" s="3">
        <f>HYPERLINK("https://search.asu.edu/profile/rcalhou", "https://search.asu.edu/profile/rcalhou")</f>
        <v/>
      </c>
      <c r="D34" s="3">
        <f>HYPERLINK("https://scholar.google.com/citations?view_op=search_authors&amp;mauthors=Ronald%20Calhoun%20Arizona%20State%20University", "Google Scholar Search")</f>
        <v/>
      </c>
      <c r="E34" s="2" t="inlineStr">
        <is>
          <t>Associate Professor</t>
        </is>
      </c>
      <c r="F34" s="2" t="inlineStr">
        <is>
          <t>Aerospace &amp; Mechanical Engineering</t>
        </is>
      </c>
      <c r="G34" s="2" t="inlineStr"/>
      <c r="H34" s="3">
        <f>HYPERLINK("mailto:Ronald.Calhoun@asu.edu", "Ronald.Calhoun@asu.edu")</f>
        <v/>
      </c>
      <c r="I34" s="2" t="n">
        <v>2</v>
      </c>
      <c r="J34" s="2" t="inlineStr">
        <is>
          <t>boundary layer, fluid dynamics</t>
        </is>
      </c>
      <c r="K34" s="2" t="inlineStr"/>
      <c r="L34" s="2" t="inlineStr"/>
      <c r="M34" s="2" t="inlineStr">
        <is>
          <t>"The Canopy Horizontal Array Turbulence Study" [Bulletin of the American Meteorological Society] (2010, 128 cites) | "Scopes and Challenges of Dual-Doppler Lidar Wind Measurements—An Error Analysis" [Journal of Atmospheric and Oceanic Technology] (2013, 114 cites) | "Turbulent flow over a wavy surface: Neutral case" [Journal of Geophysical Research Atmospheres] (2001, 85 cites)</t>
        </is>
      </c>
      <c r="N34" s="2" t="inlineStr">
        <is>
          <t>MAE 579: Wind Energy | MAE 242: Intro to Fluid Mechanics | MAE 593: Applied Project</t>
        </is>
      </c>
      <c r="O34" s="2" t="inlineStr"/>
      <c r="P34" s="2" t="inlineStr"/>
      <c r="Q34" s="2" t="inlineStr">
        <is>
          <t>Wind and Air Flow Studies, Meteorological Phenomena and Simulations, Fluid Dynamics and Turbulent Flows, Wind Energy Research and Development, Plant Water Relations and Carbon Dynamics</t>
        </is>
      </c>
      <c r="R34" s="2" t="inlineStr"/>
      <c r="S34" s="2" t="inlineStr"/>
      <c r="T34" s="2" t="inlineStr">
        <is>
          <t>Calhoun’s research interests are in fluid dynamics; atmospheric sciences; boundary layer; wind energy and remote sensing.</t>
        </is>
      </c>
      <c r="U34" s="2" t="inlineStr">
        <is>
          <t>Ph.D. Civil and Environmental Engineering, Stanford University 1998 | Engineer. Civil and Environmental Engineering, Stanford University 1993 | M.S. Civil and Environmental Engineering, Stanford University 1992 | B.S. Symbolic Systems, Stanford University 1989</t>
        </is>
      </c>
      <c r="V34" s="2" t="inlineStr">
        <is>
          <t>Wind Energy and Atmospheric Boundary Layer Lab</t>
        </is>
      </c>
      <c r="W34" s="3">
        <f>HYPERLINK("https://windlab.engineering.asu.edu/ronald-calhoun/", "https://windlab.engineering.asu.edu/ronald-calhoun/")</f>
        <v/>
      </c>
      <c r="X34" s="2" t="inlineStr"/>
      <c r="Y34" s="2" t="inlineStr"/>
      <c r="Z34" s="2" t="inlineStr"/>
      <c r="AA34" s="2" t="inlineStr"/>
      <c r="AB34" s="2" t="inlineStr"/>
      <c r="AC34" s="2" t="inlineStr"/>
      <c r="AD34" s="2" t="inlineStr">
        <is>
          <t>Goldwater 466 (TEMPE, AZ 85287-6106)</t>
        </is>
      </c>
      <c r="AE34" s="2" t="b">
        <v>1</v>
      </c>
      <c r="AF34" s="3">
        <f>HYPERLINK("https://faculty.engineering.asu.edu/directory/semte/aerospace-and-mechanical-engineering/", "https://faculty.engineering.asu.edu/directory/semte/aerospace-and-mechanical-engineering/")</f>
        <v/>
      </c>
    </row>
    <row r="35">
      <c r="A35" s="2" t="inlineStr">
        <is>
          <t>Wanxin Jin</t>
        </is>
      </c>
      <c r="B35" s="2" t="inlineStr">
        <is>
          <t>Arizona State University</t>
        </is>
      </c>
      <c r="C35" s="3">
        <f>HYPERLINK("https://search.asu.edu/profile/wjin34", "https://search.asu.edu/profile/wjin34")</f>
        <v/>
      </c>
      <c r="D35" s="3">
        <f>HYPERLINK("https://scholar.google.com/citations?hl=en&amp;user=SoEC4h4AAAAJ", "Scholar (SoEC4h4AAAAJ)")</f>
        <v/>
      </c>
      <c r="E35" s="2" t="inlineStr">
        <is>
          <t>Assistant Professor</t>
        </is>
      </c>
      <c r="F35" s="2" t="inlineStr">
        <is>
          <t>Aerospace &amp; Mechanical Engineering</t>
        </is>
      </c>
      <c r="G35" s="2" t="inlineStr">
        <is>
          <t>SoEC4h4AAAAJ</t>
        </is>
      </c>
      <c r="H35" s="3">
        <f>HYPERLINK("mailto:wjin@asu.edu", "wjin@asu.edu")</f>
        <v/>
      </c>
      <c r="I35" s="2" t="n">
        <v>2</v>
      </c>
      <c r="J35" s="2" t="inlineStr">
        <is>
          <t>robot, robotics</t>
        </is>
      </c>
      <c r="K35" s="2" t="inlineStr">
        <is>
          <t>Below are selected papers that represent our main research threads. Please visit Publications for the full list. Contact-rich i...</t>
        </is>
      </c>
      <c r="L35" s="2" t="inlineStr">
        <is>
          <t>"Real-Time Shape Control of Multi-Segment Soft Robotic Arms Using Koopman Operators with Global and Local Observables" [arXiv (Cornell University)] (2026) | "Cross-Embodiment Robot Manipulation via a Unified Hand Action Space" [arXiv (Cornell University)] (2026) | "Cross-Embodiment Robot Manipulation via a Unified Hand Action Space" [arXiv (Cornell University)] (2026)</t>
        </is>
      </c>
      <c r="M35" s="2" t="inlineStr">
        <is>
          <t>"Inverse optimal control from incomplete trajectory observations" [The International Journal of Robotics Research] (2021, 55 cites) | "Inverse Optimal Control for Multiphase Cost Functions" [IEEE Transactions on Robotics] (2019, 52 cites) | "A Line-Based-Clustering Approach for Ball Grid Array Component Inspection in Surface-Mount Technology" [IEEE Transactions on Industrial Electronics] (2016, 52 cites)</t>
        </is>
      </c>
      <c r="N35" s="2" t="inlineStr">
        <is>
          <t>MAE 301: Applied Experimental Statistic | MAE 593: Applied Project | MAE 547: Modeling and Control of Robots</t>
        </is>
      </c>
      <c r="O35" s="2" t="inlineStr"/>
      <c r="P35" s="2" t="inlineStr">
        <is>
          <t>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 | If you are interested, please submit this form: https://forms.gle/Yo5mQcwTrogHTgu77 . If there is a potential fit, you should expect to be contacted within one week; if you do not hear back, please email wjin@asu.edu for follow-up.</t>
        </is>
      </c>
      <c r="Q35" s="2" t="inlineStr">
        <is>
          <t>Robot Manipulation and Learning, Advanced Control Systems Optimization, Reinforcement Learning in Robotics, Robotic Mechanisms and Dynamics, Robotic Path Planning Algorithms</t>
        </is>
      </c>
      <c r="R35" s="2" t="inlineStr">
        <is>
          <t>https://irislab.tech/</t>
        </is>
      </c>
      <c r="S35" s="2" t="inlineStr"/>
      <c r="T35" s="2" t="inlineStr">
        <is>
          <t>Jin's research includes robotics, control and machine learning, with a focus on the autonomy of robots interacting with humans and objects.</t>
        </is>
      </c>
      <c r="U35" s="2" t="inlineStr">
        <is>
          <t>Ph.D., Purdue University 2021 | Master of Science, Harbin Institute of Technology, 2016 | Bachelor of Engineering, Harbin Institute of Technology, 2014</t>
        </is>
      </c>
      <c r="V35" s="2" t="inlineStr">
        <is>
          <t>Intelligent Robotics and Interactive Systems Lab (IRIS Lab)</t>
        </is>
      </c>
      <c r="W35" s="3">
        <f>HYPERLINK("https://irislab.tech/", "https://irislab.tech/")</f>
        <v/>
      </c>
      <c r="X35" s="2" t="inlineStr">
        <is>
          <t>ASU undergraduate and master students are welcome to join IRIS Lab research projects in robotics, embodied AI, vision and perception, robot learning, control, and autonomy. Students interested in a thesis, independent study, or sustained applied research project are especially encouraged to reach out. | 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t>
        </is>
      </c>
      <c r="Y35" s="2" t="inlineStr"/>
      <c r="Z35" s="2" t="inlineStr"/>
      <c r="AA35" s="2" t="inlineStr">
        <is>
          <t>NSF</t>
        </is>
      </c>
      <c r="AB35" s="3">
        <f>HYPERLINK("https://github.com/asu-iris", "https://github.com/asu-iris")</f>
        <v/>
      </c>
      <c r="AC35" s="2" t="inlineStr">
        <is>
          <t>Recent Updates</t>
        </is>
      </c>
      <c r="AD35" s="2" t="inlineStr">
        <is>
          <t>Campus: Tempe</t>
        </is>
      </c>
      <c r="AE35" s="2" t="b">
        <v>1</v>
      </c>
      <c r="AF35" s="3">
        <f>HYPERLINK("https://faculty.engineering.asu.edu/directory/semte/aerospace-and-mechanical-engineering/", "https://faculty.engineering.asu.edu/directory/semte/aerospace-and-mechanical-engineering/")</f>
        <v/>
      </c>
    </row>
    <row r="36">
      <c r="A36" s="2" t="inlineStr">
        <is>
          <t>Yongming Liu</t>
        </is>
      </c>
      <c r="B36" s="2" t="inlineStr">
        <is>
          <t>Arizona State University</t>
        </is>
      </c>
      <c r="C36" s="3">
        <f>HYPERLINK("https://search.asu.edu/profile/yliu35", "https://search.asu.edu/profile/yliu35")</f>
        <v/>
      </c>
      <c r="D36" s="3">
        <f>HYPERLINK("https://scholar.google.com/citations?view_op=search_authors&amp;mauthors=Yongming%20Liu%20Arizona%20State%20University", "Google Scholar Search")</f>
        <v/>
      </c>
      <c r="E36" s="2" t="inlineStr">
        <is>
          <t>Professor</t>
        </is>
      </c>
      <c r="F36" s="2" t="inlineStr">
        <is>
          <t>Aerospace &amp; Mechanical Engineering</t>
        </is>
      </c>
      <c r="G36" s="2" t="inlineStr"/>
      <c r="H36" s="3">
        <f>HYPERLINK("mailto:Yongming.Liu@asu.edu", "Yongming.Liu@asu.edu")</f>
        <v/>
      </c>
      <c r="I36" s="2" t="n">
        <v>2</v>
      </c>
      <c r="J36" s="2" t="inlineStr">
        <is>
          <t>aerospace, materials</t>
        </is>
      </c>
      <c r="K36" s="2" t="inlineStr"/>
      <c r="L36" s="2" t="inlineStr">
        <is>
          <t>"Comment on “Responsiveness and minimal clinically important changes of surface topography parameters in adolescents with idiopathic scoliosis: results from the schroth exercise trial”" [European Spine Journal] (2026) | "Output exponential synchronization of coupled nonlinear multi-agent systems via adaptive discrete spatiotemporal-stepwise sampling method" [Chaos Solitons &amp; Fractals] (2026) | "PID Tuning for Micro Screw Pumps Based on an Improved Spider Wasp Algorithm" [Electronics] (2026)</t>
        </is>
      </c>
      <c r="M36" s="2" t="inlineStr">
        <is>
          <t>"Removal of Copper Ions from Wastewater: A Review" [International Journal of Environmental Research and Public Health] (2023, 284 cites) | "Fatigue modeling using neural networks: A comprehensive review" [Fatigue &amp; Fracture of Engineering Materials &amp; Structures] (2022, 260 cites) | "Microstructure Representation and Reconstruction of Heterogeneous Materials Via Deep Belief Network for Computational Material Design" [Journal of Mechanical Design] (2017, 196 cites)</t>
        </is>
      </c>
      <c r="N36" s="2" t="inlineStr">
        <is>
          <t>MAE 548: Prob Methods for Eng Des/Analy | MAE 593: Applied Project | MAE 584: Internship</t>
        </is>
      </c>
      <c r="O36" s="2" t="inlineStr"/>
      <c r="P36" s="2" t="inlineStr"/>
      <c r="Q36" s="2" t="inlineStr">
        <is>
          <t>Fatigue and fracture mechanics, Structural Health Monitoring Techniques, Non-Destructive Testing Techniques, Probabilistic and Robust Engineering Design, Ultrasonics and Acoustic Wave Propagation</t>
        </is>
      </c>
      <c r="R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S36" s="2" t="inlineStr"/>
      <c r="T36" s="2" t="inlineStr">
        <is>
          <t>Liu heads the Prognostic Analysis and Reliability Assessment Laboratory (PARA). He joined ASU in 2012.</t>
        </is>
      </c>
      <c r="U36" s="2" t="inlineStr">
        <is>
          <t>Ph.D. Civil Engineering, Vanderbilt University 2006 | M.S. Structural Engineering, Tongji University, Shanghai, China 2002 | B.S. Structural Engineering, Tongji University, Shanghai, China 1999</t>
        </is>
      </c>
      <c r="V36" s="2" t="inlineStr">
        <is>
          <t>Prognostics and Health Management (PHM) Lab</t>
        </is>
      </c>
      <c r="W36" s="2" t="inlineStr"/>
      <c r="X36" s="2" t="inlineStr"/>
      <c r="Y36" s="2" t="inlineStr"/>
      <c r="Z36" s="2" t="inlineStr"/>
      <c r="AA36" s="2" t="inlineStr"/>
      <c r="AB36" s="2" t="inlineStr"/>
      <c r="AC36" s="2" t="inlineStr"/>
      <c r="AD36" s="2" t="inlineStr">
        <is>
          <t>ENGRC 409 (Tempe, AZ 85287-6106)</t>
        </is>
      </c>
      <c r="AE36" s="2" t="b">
        <v>1</v>
      </c>
      <c r="AF36" s="3">
        <f>HYPERLINK("https://faculty.engineering.asu.edu/directory/semte/aerospace-and-mechanical-engineering/", "https://faculty.engineering.asu.edu/directory/semte/aerospace-and-mechanical-engineering/")</f>
        <v/>
      </c>
    </row>
    <row r="37">
      <c r="A37" s="2" t="inlineStr">
        <is>
          <t>Cindy (Xiangjia) Li</t>
        </is>
      </c>
      <c r="B37" s="2" t="inlineStr">
        <is>
          <t>Arizona State University</t>
        </is>
      </c>
      <c r="C37" s="3">
        <f>HYPERLINK("https://search.asu.edu/profile/xiangji5", "https://search.asu.edu/profile/xiangji5")</f>
        <v/>
      </c>
      <c r="D37" s="3">
        <f>HYPERLINK("https://scholar.google.com/citations?hl=en&amp;user=tGQzHJIAAAAJ", "Scholar (tGQzHJIAAAAJ)")</f>
        <v/>
      </c>
      <c r="E37" s="2" t="inlineStr">
        <is>
          <t>Associate Professor</t>
        </is>
      </c>
      <c r="F37" s="2" t="inlineStr">
        <is>
          <t>Aerospace &amp; Mechanical Engineering</t>
        </is>
      </c>
      <c r="G37" s="2" t="inlineStr">
        <is>
          <t>tGQzHJIAAAAJ</t>
        </is>
      </c>
      <c r="H37" s="3">
        <f>HYPERLINK("mailto:xiangjia.li@asu.edu", "xiangjia.li@asu.edu")</f>
        <v/>
      </c>
      <c r="I37" s="2" t="n">
        <v>1</v>
      </c>
      <c r="J37" s="2" t="inlineStr">
        <is>
          <t>materials</t>
        </is>
      </c>
      <c r="K37" s="2" t="inlineStr">
        <is>
          <t>Dylan Joralmon~, Soham Khairnar, Xiangjia Li*, "Rapid Fabrication of Multi-Metal 3D Objects with Adjustable Gradients by Contin...</t>
        </is>
      </c>
      <c r="L37" s="2" t="inlineStr">
        <is>
          <t>"High-speed 3D printing of alloy architectures enabled by continuous liquid interface production" [Additive manufacturing] (2026) | "Enhancing polymer composite performance through optimized alignment with machine learning and in-situ monitoring in electrically assisted vat photopolymerization" [Composites Science and Technology] (2026) | "Effects of Polymer Matrix Structures on Metallic Growth in Electrically Assisted Vat Photopolymerization for Heterogeneous Metal-Polymer Printing" [Journal of Micro and Nano-Manufacturing] (2025)</t>
        </is>
      </c>
      <c r="M37" s="2" t="inlineStr">
        <is>
          <t>"Recent Progress in Biomimetic Additive Manufacturing Technology: From Materials to Functional Structures" [Advanced Materials] (2018, 540 cites) | "3D‐Printed Biomimetic Super‐Hydrophobic Structure for Microdroplet Manipulation and Oil/Water Separation" [Advanced Materials] (2017, 528 cites) | "Electrically assisted 3D printing of nacre-inspired structures with self-sensing capability" [Science Advances] (2019, 309 cites)</t>
        </is>
      </c>
      <c r="N37" s="2" t="inlineStr">
        <is>
          <t>MAE 301: Applied Experimental Statistic | MAE 593: Applied Project | MAE 494: Special Topics</t>
        </is>
      </c>
      <c r="O37" s="2" t="inlineStr">
        <is>
          <t>2026 The J. Orin Edson Entrepreneurship &amp; Innovation Seed Funding Award ASU 2025 1st place Skysong Startup Competition C</t>
        </is>
      </c>
      <c r="P37" s="2" t="inlineStr">
        <is>
          <t>If you are interested in joining us, please send the full CV (with GPA; working and research experiences; publications) to Prof. Li (email: xiangjia.li AT asu.edu).</t>
        </is>
      </c>
      <c r="Q37" s="2" t="inlineStr">
        <is>
          <t>Additive Manufacturing and 3D Printing Technologies, Advanced Sensor and Energy Harvesting Materials, Advanced Materials and Mechanics, Surface Modification and Superhydrophobicity, 3D Printing in Biomedical Research</t>
        </is>
      </c>
      <c r="R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S37" s="2" t="inlineStr">
        <is>
          <t>Ceramic Technology, Mechanics of Composite Materials, Mechanical Engineering, Biomimicry, 3D Printing, Additive Manufacturing, Manufacturing Engineering</t>
        </is>
      </c>
      <c r="T37" s="2" t="inlineStr">
        <is>
          <t>Xiangjia (Cindy) Li is an Associate Professor at Arizona State University. Her research focuses on multiscale, multimaterial additive manufacturing and bioinspired design for functional materials and devices.</t>
        </is>
      </c>
      <c r="U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V37" s="2" t="inlineStr">
        <is>
          <t>Advanced Manufacturing and Bio-inspired Design Lab</t>
        </is>
      </c>
      <c r="W37" s="3">
        <f>HYPERLINK("https://www.cindyxjli.com/", "https://www.cindyxjli.com/")</f>
        <v/>
      </c>
      <c r="X37" s="2" t="inlineStr">
        <is>
          <t>The labMI is looking for creative, motivated and energetic Ph.D., Master and Undergraduate students from diverse science and engineering field!</t>
        </is>
      </c>
      <c r="Y37" s="2" t="inlineStr"/>
      <c r="Z37" s="2" t="inlineStr"/>
      <c r="AA37" s="2" t="inlineStr">
        <is>
          <t>NSF</t>
        </is>
      </c>
      <c r="AB37" s="2" t="inlineStr"/>
      <c r="AC37" s="2" t="inlineStr">
        <is>
          <t>Manufacturing</t>
        </is>
      </c>
      <c r="AD37" s="2" t="inlineStr">
        <is>
          <t>ERC457 551 E Tyler Mall (Tempe, AZ 85281)</t>
        </is>
      </c>
      <c r="AE37" s="2" t="b">
        <v>1</v>
      </c>
      <c r="AF37" s="3">
        <f>HYPERLINK("https://faculty.engineering.asu.edu/directory/semte/aerospace-and-mechanical-engineering/", "https://faculty.engineering.asu.edu/directory/semte/aerospace-and-mechanical-engineering/")</f>
        <v/>
      </c>
    </row>
    <row r="38">
      <c r="A38" s="2" t="inlineStr">
        <is>
          <t>James Middleton</t>
        </is>
      </c>
      <c r="B38" s="2" t="inlineStr">
        <is>
          <t>Arizona State University</t>
        </is>
      </c>
      <c r="C38" s="3">
        <f>HYPERLINK("https://search.asu.edu/profile/jimbo", "https://search.asu.edu/profile/jimbo")</f>
        <v/>
      </c>
      <c r="D38" s="3">
        <f>HYPERLINK("https://scholar.google.com/citations?view_op=search_authors&amp;mauthors=James%20Middleton%20Arizona%20State%20University", "Google Scholar Search")</f>
        <v/>
      </c>
      <c r="E38" s="2" t="inlineStr">
        <is>
          <t>Professor</t>
        </is>
      </c>
      <c r="F38" s="2" t="inlineStr">
        <is>
          <t>Aerospace &amp; Mechanical Engineering</t>
        </is>
      </c>
      <c r="G38" s="2" t="inlineStr"/>
      <c r="H38" s="3">
        <f>HYPERLINK("mailto:jimbo@asu.edu", "jimbo@asu.edu")</f>
        <v/>
      </c>
      <c r="I38" s="2" t="n">
        <v>1</v>
      </c>
      <c r="J38" s="2" t="inlineStr">
        <is>
          <t>aerospace</t>
        </is>
      </c>
      <c r="K38" s="2" t="inlineStr">
        <is>
          <t>Journal Articles Middleton, J. A. (in press). Archimedes, Euler, &amp; Nursing Cats: Rethinking the Arithmetic Mean. OnCore,</t>
        </is>
      </c>
      <c r="L38" s="2" t="inlineStr">
        <is>
          <t>"Potentially engaging mathematics teaching practices in secondary classrooms: Investigating observation tool validity and score reliability" [Investigations in Mathematics Learning] (2024) | "A Multi-Year Professional Development Program to Advance Active Learning Pedagogical Practices for Engineering Faculty" [AEE Journal] (2024)</t>
        </is>
      </c>
      <c r="M38" s="2" t="inlineStr">
        <is>
          <t>"Motivation for Achievement in Mathematics: Findings, Generalizations, and Criticisms of the Research" [Journal for Research in Mathematics Education] (1999, 520 cites) | "Attitudes, Beliefs, Motivation and Identity in Mathematics Education" [ICME-13 topical surveys] (2016, 158 cites) | "A Study of Intrinsic Motivation in the Mathematics Classroom: A Personal Constructs Approach" [Journal for Research in Mathematics Education] (1995, 131 cites)</t>
        </is>
      </c>
      <c r="N38" s="2" t="inlineStr">
        <is>
          <t>MAE 484: Internship | MAE 301: Applied Experimental Statistic | MAE 394: Special Topics</t>
        </is>
      </c>
      <c r="O38" s="2" t="inlineStr"/>
      <c r="P38" s="2" t="inlineStr"/>
      <c r="Q38" s="2" t="inlineStr">
        <is>
          <t>Mathematics Education and Teaching Techniques, Innovative Teaching and Learning Methods, Engineering Education and Pedagogy, Engineering Education and Curriculum Development, Education and Technology Integration</t>
        </is>
      </c>
      <c r="R38" s="2" t="inlineStr">
        <is>
          <t>Student learning of mathematical concepts. Motivation and mathematics learning. Teacher change. Applications of technology to mathematics teaching and learning.</t>
        </is>
      </c>
      <c r="S38" s="2" t="inlineStr"/>
      <c r="T38" s="2" t="inlineStr">
        <is>
          <t>Middleton’s research interests focus in the following areas where he has published extensively: children’s mathematical thinking; teacher and student motivation in mathematics; and teacher change in mathematics.</t>
        </is>
      </c>
      <c r="U38" s="2" t="inlineStr">
        <is>
          <t>Ph.D. Educational Psychology, University of Wisconsin-Madison 1992</t>
        </is>
      </c>
      <c r="V38" s="2" t="inlineStr"/>
      <c r="W38" s="2" t="inlineStr"/>
      <c r="X38" s="2" t="inlineStr"/>
      <c r="Y38" s="2" t="inlineStr"/>
      <c r="Z38" s="2" t="inlineStr"/>
      <c r="AA38" s="2" t="inlineStr"/>
      <c r="AB38" s="2" t="inlineStr"/>
      <c r="AC38" s="2" t="inlineStr"/>
      <c r="AD38" s="2" t="inlineStr">
        <is>
          <t>ENGRC 381 (TEMPE, AZ 85287-6106)</t>
        </is>
      </c>
      <c r="AE38" s="2" t="b">
        <v>1</v>
      </c>
      <c r="AF38" s="3">
        <f>HYPERLINK("https://faculty.engineering.asu.edu/directory/semte/aerospace-and-mechanical-engineering/", "https://faculty.engineering.asu.edu/directory/semte/aerospace-and-mechanical-engineering/")</f>
        <v/>
      </c>
    </row>
    <row r="39">
      <c r="A39" s="2" t="inlineStr">
        <is>
          <t>Lin Li</t>
        </is>
      </c>
      <c r="B39" s="2" t="inlineStr">
        <is>
          <t>Arizona State University</t>
        </is>
      </c>
      <c r="C39" s="3">
        <f>HYPERLINK("https://search.asu.edu/profile/linli25", "https://search.asu.edu/profile/linli25")</f>
        <v/>
      </c>
      <c r="D39" s="3">
        <f>HYPERLINK("https://scholar.google.com/citations?view_op=search_authors&amp;mauthors=Lin%20Li%20Arizona%20State%20University", "Google Scholar Search")</f>
        <v/>
      </c>
      <c r="E39" s="2" t="inlineStr">
        <is>
          <t>Associate Professor</t>
        </is>
      </c>
      <c r="F39" s="2" t="inlineStr">
        <is>
          <t>Aerospace &amp; Mechanical Engineering</t>
        </is>
      </c>
      <c r="G39" s="2" t="inlineStr"/>
      <c r="H39" s="3">
        <f>HYPERLINK("mailto:Lin.Li.10@asu.edu", "Lin.Li.10@asu.edu")</f>
        <v/>
      </c>
      <c r="I39" s="2" t="n">
        <v>1</v>
      </c>
      <c r="J39" s="2" t="inlineStr">
        <is>
          <t>materials</t>
        </is>
      </c>
      <c r="K39" s="2" t="inlineStr"/>
      <c r="L39" s="2" t="inlineStr"/>
      <c r="M39" s="2" t="inlineStr"/>
      <c r="N39" s="2" t="inlineStr">
        <is>
          <t>MAE 520: Stress Analysis | MAE 499: Individualized Instruction | MAE 598: Special Topics</t>
        </is>
      </c>
      <c r="O39" s="2" t="inlineStr"/>
      <c r="P39" s="2" t="inlineStr"/>
      <c r="Q39" s="2" t="inlineStr"/>
      <c r="R39" s="2" t="inlineStr"/>
      <c r="S39" s="2" t="inlineStr"/>
      <c r="T39" s="2" t="inlineStr">
        <is>
          <t>Li uses multiscale material mechanics models, computational and data tools to explore advanced materials for extreme environments.</t>
        </is>
      </c>
      <c r="U39" s="2" t="inlineStr">
        <is>
          <t>PhD The Ohio State University</t>
        </is>
      </c>
      <c r="V39" s="2" t="inlineStr"/>
      <c r="W39" s="2" t="inlineStr"/>
      <c r="X39" s="2" t="inlineStr"/>
      <c r="Y39" s="2" t="inlineStr"/>
      <c r="Z39" s="2" t="inlineStr"/>
      <c r="AA39" s="2" t="inlineStr"/>
      <c r="AB39" s="2" t="inlineStr"/>
      <c r="AC39" s="2" t="inlineStr"/>
      <c r="AD39" s="2" t="inlineStr">
        <is>
          <t>Campus: Tempe</t>
        </is>
      </c>
      <c r="AE39" s="2" t="b">
        <v>1</v>
      </c>
      <c r="AF39" s="3">
        <f>HYPERLINK("https://faculty.engineering.asu.edu/directory/semte/aerospace-and-mechanical-engineering/", "https://faculty.engineering.asu.edu/directory/semte/aerospace-and-mechanical-engineering/")</f>
        <v/>
      </c>
    </row>
    <row r="40">
      <c r="A40" s="2" t="inlineStr">
        <is>
          <t>Marc Mignolet</t>
        </is>
      </c>
      <c r="B40" s="2" t="inlineStr">
        <is>
          <t>Arizona State University</t>
        </is>
      </c>
      <c r="C40" s="3">
        <f>HYPERLINK("https://search.asu.edu/profile/marc03", "https://search.asu.edu/profile/marc03")</f>
        <v/>
      </c>
      <c r="D40" s="3">
        <f>HYPERLINK("https://scholar.google.com/citations?view_op=search_authors&amp;mauthors=Marc%20Mignolet%20Arizona%20State%20University", "Google Scholar Search")</f>
        <v/>
      </c>
      <c r="E40" s="2" t="inlineStr">
        <is>
          <t>Professor</t>
        </is>
      </c>
      <c r="F40" s="2" t="inlineStr">
        <is>
          <t>Aerospace &amp; Mechanical Engineering</t>
        </is>
      </c>
      <c r="G40" s="2" t="inlineStr"/>
      <c r="H40" s="3">
        <f>HYPERLINK("mailto:marc.mignolet@asu.edu", "marc.mignolet@asu.edu")</f>
        <v/>
      </c>
      <c r="I40" s="2" t="n">
        <v>1</v>
      </c>
      <c r="J40" s="2" t="inlineStr">
        <is>
          <t>aerospace</t>
        </is>
      </c>
      <c r="K40" s="2" t="inlineStr"/>
      <c r="L40" s="2" t="inlineStr">
        <is>
          <t>"Hybrid FEM-ROM for Aero-Thermo-Structural Analyses of Panel-Frame Assemblies" [AIAA Journal] (2026) | "Optimal Representation of a Varying Temperature Field for Coupling with a Structural Reduced Order Model" [River Publishers eBooks] (2025) | "Stochastic Iwan-Type Model of a Bolted Joint: Formulation and Identification" [River Publishers eBooks] (2025)</t>
        </is>
      </c>
      <c r="M40" s="2" t="inlineStr">
        <is>
          <t>"A review of indirect/non-intrusive reduced order modeling of nonlinear geometric structures" [Journal of Sound and Vibration] (2013, 336 cites) | "Stochastic reduced order models for uncertain geometrically nonlinear dynamical systems" [Computer Methods in Applied Mechanics and Engineering] (2008, 154 cites) | "Nonlinear reduced order modeling of isotropic and functionally graded plates" [International Journal of Non-Linear Mechanics] (2012, 118 cites)</t>
        </is>
      </c>
      <c r="N40" s="2" t="inlineStr">
        <is>
          <t>MAE 510: Dynamics and Vibrations | MAE 591: Seminar | MAE 394: Special Topics</t>
        </is>
      </c>
      <c r="O40" s="2" t="inlineStr"/>
      <c r="P40" s="2" t="inlineStr"/>
      <c r="Q40" s="2" t="inlineStr">
        <is>
          <t>Bladed Disk Vibration Dynamics, Structural Health Monitoring Techniques, Probabilistic and Robust Engineering Design, Vibration and Dynamic Analysis, Turbomachinery Performance and Optimization</t>
        </is>
      </c>
      <c r="R40" s="2" t="inlineStr"/>
      <c r="S40" s="2" t="inlineStr"/>
      <c r="T40" s="2" t="inlineStr">
        <is>
          <t>Mignolet's research interests include structural dynamics, vibrations, modeling of uncertainty in structures and stochastic multiscale analyses.</t>
        </is>
      </c>
      <c r="U40" s="2" t="inlineStr">
        <is>
          <t>Ph.D. Rice University 1987</t>
        </is>
      </c>
      <c r="V40" s="2" t="inlineStr"/>
      <c r="W40" s="2" t="inlineStr"/>
      <c r="X40" s="2" t="inlineStr"/>
      <c r="Y40" s="2" t="inlineStr"/>
      <c r="Z40" s="2" t="inlineStr"/>
      <c r="AA40" s="2" t="inlineStr"/>
      <c r="AB40" s="2" t="inlineStr"/>
      <c r="AC40" s="2" t="inlineStr"/>
      <c r="AD40" s="2" t="inlineStr">
        <is>
          <t>ENGRC 411 (TEMPE, AZ 85287-6106)</t>
        </is>
      </c>
      <c r="AE40" s="2" t="b">
        <v>1</v>
      </c>
      <c r="AF40" s="3">
        <f>HYPERLINK("https://faculty.engineering.asu.edu/directory/semte/aerospace-and-mechanical-engineering/", "https://faculty.engineering.asu.edu/directory/semte/aerospace-and-mechanical-engineering/")</f>
        <v/>
      </c>
    </row>
    <row r="41">
      <c r="A41" s="2" t="inlineStr">
        <is>
          <t>Pedro Peralta</t>
        </is>
      </c>
      <c r="B41" s="2" t="inlineStr">
        <is>
          <t>Arizona State University</t>
        </is>
      </c>
      <c r="C41" s="3">
        <f>HYPERLINK("https://search.asu.edu/profile/pperalta", "https://search.asu.edu/profile/pperalta")</f>
        <v/>
      </c>
      <c r="D41" s="3">
        <f>HYPERLINK("https://scholar.google.com/citations?view_op=search_authors&amp;mauthors=Pedro%20Peralta%20Arizona%20State%20University", "Google Scholar Search")</f>
        <v/>
      </c>
      <c r="E41" s="2" t="inlineStr">
        <is>
          <t>Professor</t>
        </is>
      </c>
      <c r="F41" s="2" t="inlineStr">
        <is>
          <t>Aerospace &amp; Mechanical Engineering</t>
        </is>
      </c>
      <c r="G41" s="2" t="inlineStr"/>
      <c r="H41" s="3">
        <f>HYPERLINK("mailto:pperalta@asu.edu", "pperalta@asu.edu")</f>
        <v/>
      </c>
      <c r="I41" s="2" t="n">
        <v>1</v>
      </c>
      <c r="J41" s="2" t="inlineStr">
        <is>
          <t>materials</t>
        </is>
      </c>
      <c r="K41" s="2" t="inlineStr"/>
      <c r="L41" s="2" t="inlineStr"/>
      <c r="M41" s="2" t="inlineStr"/>
      <c r="N41" s="2" t="inlineStr">
        <is>
          <t>MAE 213: Mechanics of Materials | MAE 593: Applied Project | MAE 520: Stress Analysis</t>
        </is>
      </c>
      <c r="O41" s="2" t="inlineStr"/>
      <c r="P41" s="2" t="inlineStr"/>
      <c r="Q41" s="2" t="inlineStr">
        <is>
          <t>High-Velocity Impact and Material Behavior, Microstructure and mechanical properties, Fatigue and fracture mechanics, Nuclear Materials and Properties, Intermetallics and Advanced Alloy Properties</t>
        </is>
      </c>
      <c r="R41" s="2" t="inlineStr"/>
      <c r="S41" s="2" t="inlineStr"/>
      <c r="T41" s="2" t="inlineStr">
        <is>
          <t>Peralta's research focuses on mechanics of materials, fatigue and fracture of metallic alloys, dynamic and shock loading of metallic and intermetallic materials.</t>
        </is>
      </c>
      <c r="U41" s="2" t="inlineStr">
        <is>
          <t>Ph.D. Materials Science and Engineering, University of Pennsylvania | M.S. Mechanical Engineering and Applied Mechanics, University of Pennsylvania | Bachelor’s degree. Mechanical Engineering, Universidad Simón Bolívar, Caracas, Venezuela</t>
        </is>
      </c>
      <c r="V41" s="2" t="inlineStr"/>
      <c r="W41" s="3">
        <f>HYPERLINK("https://faculty.engineering.asu.edu/pperalta/", "https://faculty.engineering.asu.edu/pperalta/")</f>
        <v/>
      </c>
      <c r="X41" s="2" t="inlineStr"/>
      <c r="Y41" s="2" t="inlineStr"/>
      <c r="Z41" s="2" t="inlineStr"/>
      <c r="AA41" s="2" t="inlineStr"/>
      <c r="AB41" s="2" t="inlineStr"/>
      <c r="AC41" s="2" t="inlineStr"/>
      <c r="AD41" s="2" t="inlineStr">
        <is>
          <t>ENGRC 352 (TEMPE, AZ 85287-6106)</t>
        </is>
      </c>
      <c r="AE41" s="2" t="b">
        <v>1</v>
      </c>
      <c r="AF41" s="3">
        <f>HYPERLINK("https://faculty.engineering.asu.edu/directory/semte/aerospace-and-mechanical-engineering/", "https://faculty.engineering.asu.edu/directory/semte/aerospace-and-mechanical-engineering/")</f>
        <v/>
      </c>
    </row>
    <row r="42">
      <c r="A42" s="2" t="inlineStr">
        <is>
          <t>Wonmo Kang</t>
        </is>
      </c>
      <c r="B42" s="2" t="inlineStr">
        <is>
          <t>Arizona State University</t>
        </is>
      </c>
      <c r="C42" s="3">
        <f>HYPERLINK("https://search.asu.edu/profile/wkang16", "https://search.asu.edu/profile/wkang16")</f>
        <v/>
      </c>
      <c r="D42" s="3">
        <f>HYPERLINK("https://scholar.google.com/citations?hl=en&amp;user=bHyyOTAAAAAJ", "Scholar (bHyyOTAAAAAJ)")</f>
        <v/>
      </c>
      <c r="E42" s="2" t="inlineStr">
        <is>
          <t>Associate Professor</t>
        </is>
      </c>
      <c r="F42" s="2" t="inlineStr">
        <is>
          <t>Aerospace &amp; Mechanical Engineering</t>
        </is>
      </c>
      <c r="G42" s="2" t="inlineStr">
        <is>
          <t>bHyyOTAAAAAJ</t>
        </is>
      </c>
      <c r="H42" s="3">
        <f>HYPERLINK("mailto:Wonmo.Kang@asu.edu", "Wonmo.Kang@asu.edu")</f>
        <v/>
      </c>
      <c r="I42" s="2" t="n">
        <v>1</v>
      </c>
      <c r="J42" s="2" t="inlineStr">
        <is>
          <t>materials</t>
        </is>
      </c>
      <c r="K42" s="2" t="inlineStr">
        <is>
          <t>top of page This website was built on Wix. Create yours today. Get Started Bio &amp; Nano Lab Home Dr. Kang Lab Members Publication...</t>
        </is>
      </c>
      <c r="L42" s="2" t="inlineStr">
        <is>
          <t>"Electrical Conductivity of Copper‐Graphene (Cu‐Gr) Composites: The Underlying Mechanisms of Ultrahigh Conductivity (Small 34/2026)" [Small] (2026) | "Thermal conductivity trends across cadmium sulfide nanoparticle sizes – from colloidal nanocrystals down to magic-sized clusters" [Chemical Physics] (2026) | "Electrical Conductivity of Copper‐Graphene (Cu‐Gr) Composites: The Underlying Mechanisms of Ultrahigh Conductivity" [Small] (2026)</t>
        </is>
      </c>
      <c r="M42" s="2" t="inlineStr">
        <is>
          <t>"Fibroblast Growth Factors: Biology, Function, and Application for Tissue Regeneration" [Journal of Tissue Engineering] (2010, 721 cites) | "Effects of electric current on the plastic deformation behavior of pure copper, iron, and titanium" [Acta Materialia] (2021, 168 cites) | "Nanofountain Probe Electroporation (NFP-E) of Single Cells" [Nano Letters] (2013, 116 cites)</t>
        </is>
      </c>
      <c r="N42" s="2" t="inlineStr">
        <is>
          <t>MAE 598: Special Topics | MAE 494: Special Topics | MAE 202: Mech.Particles/Rigid Bodies II</t>
        </is>
      </c>
      <c r="O42" s="2" t="inlineStr">
        <is>
          <t>NSF Career Award through the Advanced Manufacturing (AM) program, 2024. | U.S. Air Force Research Lab Summer Faculty (AFRL) Fellowship , 2021.</t>
        </is>
      </c>
      <c r="P42" s="2" t="inlineStr"/>
      <c r="Q42" s="2" t="inlineStr">
        <is>
          <t>Force Microscopy Techniques and Applications, Graphene research and applications, 3D Printing in Biomedical Research, Microfluidic and Bio-sensing Technologies, Physics of Superconductivity and Magnetism</t>
        </is>
      </c>
      <c r="R42" s="2" t="inlineStr">
        <is>
          <t>Mechanics of Composite Materials, Micro and Nanoscale Bioengineering, Nanotechnology, Thin Film Materials</t>
        </is>
      </c>
      <c r="S42" s="2" t="inlineStr">
        <is>
          <t>Mechanics of Composite Materials, Micro and Nanoscale Bioengineering, Nanotechnology, Thin Film Materials</t>
        </is>
      </c>
      <c r="T42" s="2" t="inlineStr">
        <is>
          <t>Kang's current research interests include functional materials for energy/manufacturing applications and biomaterials/biomechanics for injury and wound healing mechanisms.</t>
        </is>
      </c>
      <c r="U42" s="2" t="inlineStr">
        <is>
          <t>Ph.D. Mechanical Science and Engineering, University of Illinois at Urbana-Champaign 2012</t>
        </is>
      </c>
      <c r="V42" s="2" t="inlineStr"/>
      <c r="W42" s="3">
        <f>HYPERLINK("https://wonmokang3.wixsite.com/website", "https://wonmokang3.wixsite.com/website")</f>
        <v/>
      </c>
      <c r="X42" s="2" t="inlineStr">
        <is>
          <t>Actively recruiting / Openings mentioned on lab site</t>
        </is>
      </c>
      <c r="Y42" s="2" t="inlineStr"/>
      <c r="Z42" s="2" t="inlineStr">
        <is>
          <t>SEM</t>
        </is>
      </c>
      <c r="AA42" s="2" t="inlineStr">
        <is>
          <t>NSF, ONR</t>
        </is>
      </c>
      <c r="AB42" s="2" t="inlineStr"/>
      <c r="AC42" s="2" t="inlineStr">
        <is>
          <t>Highlighted as a cover in Small</t>
        </is>
      </c>
      <c r="AD42" s="2" t="inlineStr">
        <is>
          <t>Campus: Tempe</t>
        </is>
      </c>
      <c r="AE42" s="2" t="b">
        <v>1</v>
      </c>
      <c r="AF42" s="3">
        <f>HYPERLINK("https://faculty.engineering.asu.edu/directory/semte/aerospace-and-mechanical-engineering/", "https://faculty.engineering.asu.edu/directory/semte/aerospace-and-mechanical-engineering/")</f>
        <v/>
      </c>
    </row>
    <row r="43">
      <c r="A43" s="2" t="inlineStr">
        <is>
          <t>Yi Ren</t>
        </is>
      </c>
      <c r="B43" s="2" t="inlineStr">
        <is>
          <t>Arizona State University</t>
        </is>
      </c>
      <c r="C43" s="3">
        <f>HYPERLINK("https://search.asu.edu/profile/yren32", "https://search.asu.edu/profile/yren32")</f>
        <v/>
      </c>
      <c r="D43" s="3">
        <f>HYPERLINK("https://scholar.google.com/citations?view_op=search_authors&amp;mauthors=Yi%20Ren%20Arizona%20State%20University", "Google Scholar Search")</f>
        <v/>
      </c>
      <c r="E43" s="2" t="inlineStr">
        <is>
          <t>Associate Professor</t>
        </is>
      </c>
      <c r="F43" s="2" t="inlineStr">
        <is>
          <t>Aerospace &amp; Mechanical Engineering</t>
        </is>
      </c>
      <c r="G43" s="2" t="inlineStr"/>
      <c r="H43" s="3">
        <f>HYPERLINK("mailto:yiren@asu.edu", "yiren@asu.edu")</f>
        <v/>
      </c>
      <c r="I43" s="2" t="n">
        <v>1</v>
      </c>
      <c r="J43" s="2" t="inlineStr">
        <is>
          <t>aerospace</t>
        </is>
      </c>
      <c r="K43" s="2" t="inlineStr"/>
      <c r="L43" s="2" t="inlineStr"/>
      <c r="M43" s="2" t="inlineStr"/>
      <c r="N43" s="2" t="inlineStr">
        <is>
          <t>MAE 494: Special Topics | MAE 598: Special Topics | MAE 301: Applied Experimental Statistic</t>
        </is>
      </c>
      <c r="O43" s="2" t="inlineStr"/>
      <c r="P43" s="2" t="inlineStr"/>
      <c r="Q43" s="2" t="inlineStr"/>
      <c r="R43" s="2" t="inlineStr"/>
      <c r="S43" s="2" t="inlineStr"/>
      <c r="T43" s="2" t="inlineStr">
        <is>
          <t>Ren’s current research interests include optimization, product/configuration design, human-computer interaction and machine learning.</t>
        </is>
      </c>
      <c r="U43" s="2" t="inlineStr">
        <is>
          <t>Ph.D. Mechanical Engineering, University of Michigan 2011 | M.S. Mechanical Engineering, University of Michigan 2009 | B.S. Automative Engineering, Tsinghua University, China 2007</t>
        </is>
      </c>
      <c r="V43" s="2" t="inlineStr"/>
      <c r="W43" s="2" t="inlineStr"/>
      <c r="X43" s="2" t="inlineStr"/>
      <c r="Y43" s="2" t="inlineStr"/>
      <c r="Z43" s="2" t="inlineStr"/>
      <c r="AA43" s="2" t="inlineStr"/>
      <c r="AB43" s="2" t="inlineStr"/>
      <c r="AC43" s="2" t="inlineStr"/>
      <c r="AD43" s="2" t="inlineStr">
        <is>
          <t>GWC 464 (Tempe, AZ 85287-6106)</t>
        </is>
      </c>
      <c r="AE43" s="2" t="b">
        <v>1</v>
      </c>
      <c r="AF43"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W2" r:id="rId4"/>
    <hyperlink xmlns:r="http://schemas.openxmlformats.org/officeDocument/2006/relationships" ref="AB2" r:id="rId5"/>
    <hyperlink xmlns:r="http://schemas.openxmlformats.org/officeDocument/2006/relationships" ref="AF2" r:id="rId6"/>
    <hyperlink xmlns:r="http://schemas.openxmlformats.org/officeDocument/2006/relationships" ref="C3" r:id="rId7"/>
    <hyperlink xmlns:r="http://schemas.openxmlformats.org/officeDocument/2006/relationships" ref="D3" r:id="rId8"/>
    <hyperlink xmlns:r="http://schemas.openxmlformats.org/officeDocument/2006/relationships" ref="H3" r:id="rId9"/>
    <hyperlink xmlns:r="http://schemas.openxmlformats.org/officeDocument/2006/relationships" ref="W3" r:id="rId10"/>
    <hyperlink xmlns:r="http://schemas.openxmlformats.org/officeDocument/2006/relationships" ref="AF3" r:id="rId11"/>
    <hyperlink xmlns:r="http://schemas.openxmlformats.org/officeDocument/2006/relationships" ref="C4" r:id="rId12"/>
    <hyperlink xmlns:r="http://schemas.openxmlformats.org/officeDocument/2006/relationships" ref="D4" r:id="rId13"/>
    <hyperlink xmlns:r="http://schemas.openxmlformats.org/officeDocument/2006/relationships" ref="H4" r:id="rId14"/>
    <hyperlink xmlns:r="http://schemas.openxmlformats.org/officeDocument/2006/relationships" ref="W4" r:id="rId15"/>
    <hyperlink xmlns:r="http://schemas.openxmlformats.org/officeDocument/2006/relationships" ref="AF4" r:id="rId16"/>
    <hyperlink xmlns:r="http://schemas.openxmlformats.org/officeDocument/2006/relationships" ref="C5" r:id="rId17"/>
    <hyperlink xmlns:r="http://schemas.openxmlformats.org/officeDocument/2006/relationships" ref="D5" r:id="rId18"/>
    <hyperlink xmlns:r="http://schemas.openxmlformats.org/officeDocument/2006/relationships" ref="H5" r:id="rId19"/>
    <hyperlink xmlns:r="http://schemas.openxmlformats.org/officeDocument/2006/relationships" ref="W5" r:id="rId20"/>
    <hyperlink xmlns:r="http://schemas.openxmlformats.org/officeDocument/2006/relationships" ref="AF5" r:id="rId21"/>
    <hyperlink xmlns:r="http://schemas.openxmlformats.org/officeDocument/2006/relationships" ref="C6" r:id="rId22"/>
    <hyperlink xmlns:r="http://schemas.openxmlformats.org/officeDocument/2006/relationships" ref="D6" r:id="rId23"/>
    <hyperlink xmlns:r="http://schemas.openxmlformats.org/officeDocument/2006/relationships" ref="H6" r:id="rId24"/>
    <hyperlink xmlns:r="http://schemas.openxmlformats.org/officeDocument/2006/relationships" ref="AF6" r:id="rId25"/>
    <hyperlink xmlns:r="http://schemas.openxmlformats.org/officeDocument/2006/relationships" ref="C7" r:id="rId26"/>
    <hyperlink xmlns:r="http://schemas.openxmlformats.org/officeDocument/2006/relationships" ref="D7" r:id="rId27"/>
    <hyperlink xmlns:r="http://schemas.openxmlformats.org/officeDocument/2006/relationships" ref="H7" r:id="rId28"/>
    <hyperlink xmlns:r="http://schemas.openxmlformats.org/officeDocument/2006/relationships" ref="AF7" r:id="rId29"/>
    <hyperlink xmlns:r="http://schemas.openxmlformats.org/officeDocument/2006/relationships" ref="C8" r:id="rId30"/>
    <hyperlink xmlns:r="http://schemas.openxmlformats.org/officeDocument/2006/relationships" ref="D8" r:id="rId31"/>
    <hyperlink xmlns:r="http://schemas.openxmlformats.org/officeDocument/2006/relationships" ref="H8" r:id="rId32"/>
    <hyperlink xmlns:r="http://schemas.openxmlformats.org/officeDocument/2006/relationships" ref="W8" r:id="rId33"/>
    <hyperlink xmlns:r="http://schemas.openxmlformats.org/officeDocument/2006/relationships" ref="AF8" r:id="rId34"/>
    <hyperlink xmlns:r="http://schemas.openxmlformats.org/officeDocument/2006/relationships" ref="C9" r:id="rId35"/>
    <hyperlink xmlns:r="http://schemas.openxmlformats.org/officeDocument/2006/relationships" ref="D9" r:id="rId36"/>
    <hyperlink xmlns:r="http://schemas.openxmlformats.org/officeDocument/2006/relationships" ref="H9" r:id="rId37"/>
    <hyperlink xmlns:r="http://schemas.openxmlformats.org/officeDocument/2006/relationships" ref="W9" r:id="rId38"/>
    <hyperlink xmlns:r="http://schemas.openxmlformats.org/officeDocument/2006/relationships" ref="AF9" r:id="rId39"/>
    <hyperlink xmlns:r="http://schemas.openxmlformats.org/officeDocument/2006/relationships" ref="C10" r:id="rId40"/>
    <hyperlink xmlns:r="http://schemas.openxmlformats.org/officeDocument/2006/relationships" ref="D10" r:id="rId41"/>
    <hyperlink xmlns:r="http://schemas.openxmlformats.org/officeDocument/2006/relationships" ref="H10" r:id="rId42"/>
    <hyperlink xmlns:r="http://schemas.openxmlformats.org/officeDocument/2006/relationships" ref="W10" r:id="rId43"/>
    <hyperlink xmlns:r="http://schemas.openxmlformats.org/officeDocument/2006/relationships" ref="AF10" r:id="rId44"/>
    <hyperlink xmlns:r="http://schemas.openxmlformats.org/officeDocument/2006/relationships" ref="C11" r:id="rId45"/>
    <hyperlink xmlns:r="http://schemas.openxmlformats.org/officeDocument/2006/relationships" ref="D11" r:id="rId46"/>
    <hyperlink xmlns:r="http://schemas.openxmlformats.org/officeDocument/2006/relationships" ref="H11" r:id="rId47"/>
    <hyperlink xmlns:r="http://schemas.openxmlformats.org/officeDocument/2006/relationships" ref="AF11" r:id="rId48"/>
    <hyperlink xmlns:r="http://schemas.openxmlformats.org/officeDocument/2006/relationships" ref="C12" r:id="rId49"/>
    <hyperlink xmlns:r="http://schemas.openxmlformats.org/officeDocument/2006/relationships" ref="D12" r:id="rId50"/>
    <hyperlink xmlns:r="http://schemas.openxmlformats.org/officeDocument/2006/relationships" ref="H12" r:id="rId51"/>
    <hyperlink xmlns:r="http://schemas.openxmlformats.org/officeDocument/2006/relationships" ref="W12" r:id="rId52"/>
    <hyperlink xmlns:r="http://schemas.openxmlformats.org/officeDocument/2006/relationships" ref="AF12" r:id="rId53"/>
    <hyperlink xmlns:r="http://schemas.openxmlformats.org/officeDocument/2006/relationships" ref="C13" r:id="rId54"/>
    <hyperlink xmlns:r="http://schemas.openxmlformats.org/officeDocument/2006/relationships" ref="D13" r:id="rId55"/>
    <hyperlink xmlns:r="http://schemas.openxmlformats.org/officeDocument/2006/relationships" ref="H13" r:id="rId56"/>
    <hyperlink xmlns:r="http://schemas.openxmlformats.org/officeDocument/2006/relationships" ref="W13" r:id="rId57"/>
    <hyperlink xmlns:r="http://schemas.openxmlformats.org/officeDocument/2006/relationships" ref="AF13" r:id="rId58"/>
    <hyperlink xmlns:r="http://schemas.openxmlformats.org/officeDocument/2006/relationships" ref="C14" r:id="rId59"/>
    <hyperlink xmlns:r="http://schemas.openxmlformats.org/officeDocument/2006/relationships" ref="D14" r:id="rId60"/>
    <hyperlink xmlns:r="http://schemas.openxmlformats.org/officeDocument/2006/relationships" ref="H14" r:id="rId61"/>
    <hyperlink xmlns:r="http://schemas.openxmlformats.org/officeDocument/2006/relationships" ref="AF14" r:id="rId62"/>
    <hyperlink xmlns:r="http://schemas.openxmlformats.org/officeDocument/2006/relationships" ref="C15" r:id="rId63"/>
    <hyperlink xmlns:r="http://schemas.openxmlformats.org/officeDocument/2006/relationships" ref="D15" r:id="rId64"/>
    <hyperlink xmlns:r="http://schemas.openxmlformats.org/officeDocument/2006/relationships" ref="H15" r:id="rId65"/>
    <hyperlink xmlns:r="http://schemas.openxmlformats.org/officeDocument/2006/relationships" ref="W15" r:id="rId66"/>
    <hyperlink xmlns:r="http://schemas.openxmlformats.org/officeDocument/2006/relationships" ref="AF15" r:id="rId67"/>
    <hyperlink xmlns:r="http://schemas.openxmlformats.org/officeDocument/2006/relationships" ref="C16" r:id="rId68"/>
    <hyperlink xmlns:r="http://schemas.openxmlformats.org/officeDocument/2006/relationships" ref="D16" r:id="rId69"/>
    <hyperlink xmlns:r="http://schemas.openxmlformats.org/officeDocument/2006/relationships" ref="H16" r:id="rId70"/>
    <hyperlink xmlns:r="http://schemas.openxmlformats.org/officeDocument/2006/relationships" ref="W16" r:id="rId71"/>
    <hyperlink xmlns:r="http://schemas.openxmlformats.org/officeDocument/2006/relationships" ref="AF16" r:id="rId72"/>
    <hyperlink xmlns:r="http://schemas.openxmlformats.org/officeDocument/2006/relationships" ref="C17" r:id="rId73"/>
    <hyperlink xmlns:r="http://schemas.openxmlformats.org/officeDocument/2006/relationships" ref="D17" r:id="rId74"/>
    <hyperlink xmlns:r="http://schemas.openxmlformats.org/officeDocument/2006/relationships" ref="H17" r:id="rId75"/>
    <hyperlink xmlns:r="http://schemas.openxmlformats.org/officeDocument/2006/relationships" ref="W17" r:id="rId76"/>
    <hyperlink xmlns:r="http://schemas.openxmlformats.org/officeDocument/2006/relationships" ref="AF17" r:id="rId77"/>
    <hyperlink xmlns:r="http://schemas.openxmlformats.org/officeDocument/2006/relationships" ref="C18" r:id="rId78"/>
    <hyperlink xmlns:r="http://schemas.openxmlformats.org/officeDocument/2006/relationships" ref="D18" r:id="rId79"/>
    <hyperlink xmlns:r="http://schemas.openxmlformats.org/officeDocument/2006/relationships" ref="H18" r:id="rId80"/>
    <hyperlink xmlns:r="http://schemas.openxmlformats.org/officeDocument/2006/relationships" ref="AF18" r:id="rId81"/>
    <hyperlink xmlns:r="http://schemas.openxmlformats.org/officeDocument/2006/relationships" ref="C19" r:id="rId82"/>
    <hyperlink xmlns:r="http://schemas.openxmlformats.org/officeDocument/2006/relationships" ref="D19" r:id="rId83"/>
    <hyperlink xmlns:r="http://schemas.openxmlformats.org/officeDocument/2006/relationships" ref="H19" r:id="rId84"/>
    <hyperlink xmlns:r="http://schemas.openxmlformats.org/officeDocument/2006/relationships" ref="AF19" r:id="rId85"/>
    <hyperlink xmlns:r="http://schemas.openxmlformats.org/officeDocument/2006/relationships" ref="C20" r:id="rId86"/>
    <hyperlink xmlns:r="http://schemas.openxmlformats.org/officeDocument/2006/relationships" ref="D20" r:id="rId87"/>
    <hyperlink xmlns:r="http://schemas.openxmlformats.org/officeDocument/2006/relationships" ref="H20" r:id="rId88"/>
    <hyperlink xmlns:r="http://schemas.openxmlformats.org/officeDocument/2006/relationships" ref="AF20" r:id="rId89"/>
    <hyperlink xmlns:r="http://schemas.openxmlformats.org/officeDocument/2006/relationships" ref="C21" r:id="rId90"/>
    <hyperlink xmlns:r="http://schemas.openxmlformats.org/officeDocument/2006/relationships" ref="D21" r:id="rId91"/>
    <hyperlink xmlns:r="http://schemas.openxmlformats.org/officeDocument/2006/relationships" ref="H21" r:id="rId92"/>
    <hyperlink xmlns:r="http://schemas.openxmlformats.org/officeDocument/2006/relationships" ref="AF21" r:id="rId93"/>
    <hyperlink xmlns:r="http://schemas.openxmlformats.org/officeDocument/2006/relationships" ref="C22" r:id="rId94"/>
    <hyperlink xmlns:r="http://schemas.openxmlformats.org/officeDocument/2006/relationships" ref="D22" r:id="rId95"/>
    <hyperlink xmlns:r="http://schemas.openxmlformats.org/officeDocument/2006/relationships" ref="H22" r:id="rId96"/>
    <hyperlink xmlns:r="http://schemas.openxmlformats.org/officeDocument/2006/relationships" ref="W22" r:id="rId97"/>
    <hyperlink xmlns:r="http://schemas.openxmlformats.org/officeDocument/2006/relationships" ref="AF22" r:id="rId98"/>
    <hyperlink xmlns:r="http://schemas.openxmlformats.org/officeDocument/2006/relationships" ref="C23" r:id="rId99"/>
    <hyperlink xmlns:r="http://schemas.openxmlformats.org/officeDocument/2006/relationships" ref="D23" r:id="rId100"/>
    <hyperlink xmlns:r="http://schemas.openxmlformats.org/officeDocument/2006/relationships" ref="H23" r:id="rId101"/>
    <hyperlink xmlns:r="http://schemas.openxmlformats.org/officeDocument/2006/relationships" ref="W23" r:id="rId102"/>
    <hyperlink xmlns:r="http://schemas.openxmlformats.org/officeDocument/2006/relationships" ref="AF23" r:id="rId103"/>
    <hyperlink xmlns:r="http://schemas.openxmlformats.org/officeDocument/2006/relationships" ref="C24" r:id="rId104"/>
    <hyperlink xmlns:r="http://schemas.openxmlformats.org/officeDocument/2006/relationships" ref="D24" r:id="rId105"/>
    <hyperlink xmlns:r="http://schemas.openxmlformats.org/officeDocument/2006/relationships" ref="H24" r:id="rId106"/>
    <hyperlink xmlns:r="http://schemas.openxmlformats.org/officeDocument/2006/relationships" ref="W24" r:id="rId107"/>
    <hyperlink xmlns:r="http://schemas.openxmlformats.org/officeDocument/2006/relationships" ref="AF24" r:id="rId108"/>
    <hyperlink xmlns:r="http://schemas.openxmlformats.org/officeDocument/2006/relationships" ref="C25" r:id="rId109"/>
    <hyperlink xmlns:r="http://schemas.openxmlformats.org/officeDocument/2006/relationships" ref="D25" r:id="rId110"/>
    <hyperlink xmlns:r="http://schemas.openxmlformats.org/officeDocument/2006/relationships" ref="H25" r:id="rId111"/>
    <hyperlink xmlns:r="http://schemas.openxmlformats.org/officeDocument/2006/relationships" ref="W25" r:id="rId112"/>
    <hyperlink xmlns:r="http://schemas.openxmlformats.org/officeDocument/2006/relationships" ref="AF25" r:id="rId113"/>
    <hyperlink xmlns:r="http://schemas.openxmlformats.org/officeDocument/2006/relationships" ref="C26" r:id="rId114"/>
    <hyperlink xmlns:r="http://schemas.openxmlformats.org/officeDocument/2006/relationships" ref="D26" r:id="rId115"/>
    <hyperlink xmlns:r="http://schemas.openxmlformats.org/officeDocument/2006/relationships" ref="H26" r:id="rId116"/>
    <hyperlink xmlns:r="http://schemas.openxmlformats.org/officeDocument/2006/relationships" ref="AF26" r:id="rId117"/>
    <hyperlink xmlns:r="http://schemas.openxmlformats.org/officeDocument/2006/relationships" ref="C27" r:id="rId118"/>
    <hyperlink xmlns:r="http://schemas.openxmlformats.org/officeDocument/2006/relationships" ref="D27" r:id="rId119"/>
    <hyperlink xmlns:r="http://schemas.openxmlformats.org/officeDocument/2006/relationships" ref="H27" r:id="rId120"/>
    <hyperlink xmlns:r="http://schemas.openxmlformats.org/officeDocument/2006/relationships" ref="W27" r:id="rId121"/>
    <hyperlink xmlns:r="http://schemas.openxmlformats.org/officeDocument/2006/relationships" ref="AF27" r:id="rId122"/>
    <hyperlink xmlns:r="http://schemas.openxmlformats.org/officeDocument/2006/relationships" ref="C28" r:id="rId123"/>
    <hyperlink xmlns:r="http://schemas.openxmlformats.org/officeDocument/2006/relationships" ref="D28" r:id="rId124"/>
    <hyperlink xmlns:r="http://schemas.openxmlformats.org/officeDocument/2006/relationships" ref="H28" r:id="rId125"/>
    <hyperlink xmlns:r="http://schemas.openxmlformats.org/officeDocument/2006/relationships" ref="AF28" r:id="rId126"/>
    <hyperlink xmlns:r="http://schemas.openxmlformats.org/officeDocument/2006/relationships" ref="C29" r:id="rId127"/>
    <hyperlink xmlns:r="http://schemas.openxmlformats.org/officeDocument/2006/relationships" ref="D29" r:id="rId128"/>
    <hyperlink xmlns:r="http://schemas.openxmlformats.org/officeDocument/2006/relationships" ref="H29" r:id="rId129"/>
    <hyperlink xmlns:r="http://schemas.openxmlformats.org/officeDocument/2006/relationships" ref="W29" r:id="rId130"/>
    <hyperlink xmlns:r="http://schemas.openxmlformats.org/officeDocument/2006/relationships" ref="AF29" r:id="rId131"/>
    <hyperlink xmlns:r="http://schemas.openxmlformats.org/officeDocument/2006/relationships" ref="C30" r:id="rId132"/>
    <hyperlink xmlns:r="http://schemas.openxmlformats.org/officeDocument/2006/relationships" ref="D30" r:id="rId133"/>
    <hyperlink xmlns:r="http://schemas.openxmlformats.org/officeDocument/2006/relationships" ref="H30" r:id="rId134"/>
    <hyperlink xmlns:r="http://schemas.openxmlformats.org/officeDocument/2006/relationships" ref="W30" r:id="rId135"/>
    <hyperlink xmlns:r="http://schemas.openxmlformats.org/officeDocument/2006/relationships" ref="AF30" r:id="rId136"/>
    <hyperlink xmlns:r="http://schemas.openxmlformats.org/officeDocument/2006/relationships" ref="C31" r:id="rId137"/>
    <hyperlink xmlns:r="http://schemas.openxmlformats.org/officeDocument/2006/relationships" ref="D31" r:id="rId138"/>
    <hyperlink xmlns:r="http://schemas.openxmlformats.org/officeDocument/2006/relationships" ref="H31" r:id="rId139"/>
    <hyperlink xmlns:r="http://schemas.openxmlformats.org/officeDocument/2006/relationships" ref="W31" r:id="rId140"/>
    <hyperlink xmlns:r="http://schemas.openxmlformats.org/officeDocument/2006/relationships" ref="AF31" r:id="rId141"/>
    <hyperlink xmlns:r="http://schemas.openxmlformats.org/officeDocument/2006/relationships" ref="C32" r:id="rId142"/>
    <hyperlink xmlns:r="http://schemas.openxmlformats.org/officeDocument/2006/relationships" ref="D32" r:id="rId143"/>
    <hyperlink xmlns:r="http://schemas.openxmlformats.org/officeDocument/2006/relationships" ref="H32" r:id="rId144"/>
    <hyperlink xmlns:r="http://schemas.openxmlformats.org/officeDocument/2006/relationships" ref="AF32" r:id="rId145"/>
    <hyperlink xmlns:r="http://schemas.openxmlformats.org/officeDocument/2006/relationships" ref="C33" r:id="rId146"/>
    <hyperlink xmlns:r="http://schemas.openxmlformats.org/officeDocument/2006/relationships" ref="D33" r:id="rId147"/>
    <hyperlink xmlns:r="http://schemas.openxmlformats.org/officeDocument/2006/relationships" ref="H33" r:id="rId148"/>
    <hyperlink xmlns:r="http://schemas.openxmlformats.org/officeDocument/2006/relationships" ref="W33" r:id="rId149"/>
    <hyperlink xmlns:r="http://schemas.openxmlformats.org/officeDocument/2006/relationships" ref="AF33" r:id="rId150"/>
    <hyperlink xmlns:r="http://schemas.openxmlformats.org/officeDocument/2006/relationships" ref="C34" r:id="rId151"/>
    <hyperlink xmlns:r="http://schemas.openxmlformats.org/officeDocument/2006/relationships" ref="D34" r:id="rId152"/>
    <hyperlink xmlns:r="http://schemas.openxmlformats.org/officeDocument/2006/relationships" ref="H34" r:id="rId153"/>
    <hyperlink xmlns:r="http://schemas.openxmlformats.org/officeDocument/2006/relationships" ref="W34" r:id="rId154"/>
    <hyperlink xmlns:r="http://schemas.openxmlformats.org/officeDocument/2006/relationships" ref="AF34" r:id="rId155"/>
    <hyperlink xmlns:r="http://schemas.openxmlformats.org/officeDocument/2006/relationships" ref="C35" r:id="rId156"/>
    <hyperlink xmlns:r="http://schemas.openxmlformats.org/officeDocument/2006/relationships" ref="D35" r:id="rId157"/>
    <hyperlink xmlns:r="http://schemas.openxmlformats.org/officeDocument/2006/relationships" ref="H35" r:id="rId158"/>
    <hyperlink xmlns:r="http://schemas.openxmlformats.org/officeDocument/2006/relationships" ref="W35" r:id="rId159"/>
    <hyperlink xmlns:r="http://schemas.openxmlformats.org/officeDocument/2006/relationships" ref="AB35" r:id="rId160"/>
    <hyperlink xmlns:r="http://schemas.openxmlformats.org/officeDocument/2006/relationships" ref="AF35" r:id="rId161"/>
    <hyperlink xmlns:r="http://schemas.openxmlformats.org/officeDocument/2006/relationships" ref="C36" r:id="rId162"/>
    <hyperlink xmlns:r="http://schemas.openxmlformats.org/officeDocument/2006/relationships" ref="D36" r:id="rId163"/>
    <hyperlink xmlns:r="http://schemas.openxmlformats.org/officeDocument/2006/relationships" ref="H36" r:id="rId164"/>
    <hyperlink xmlns:r="http://schemas.openxmlformats.org/officeDocument/2006/relationships" ref="AF36" r:id="rId165"/>
    <hyperlink xmlns:r="http://schemas.openxmlformats.org/officeDocument/2006/relationships" ref="C37" r:id="rId166"/>
    <hyperlink xmlns:r="http://schemas.openxmlformats.org/officeDocument/2006/relationships" ref="D37" r:id="rId167"/>
    <hyperlink xmlns:r="http://schemas.openxmlformats.org/officeDocument/2006/relationships" ref="H37" r:id="rId168"/>
    <hyperlink xmlns:r="http://schemas.openxmlformats.org/officeDocument/2006/relationships" ref="W37" r:id="rId169"/>
    <hyperlink xmlns:r="http://schemas.openxmlformats.org/officeDocument/2006/relationships" ref="AF37" r:id="rId170"/>
    <hyperlink xmlns:r="http://schemas.openxmlformats.org/officeDocument/2006/relationships" ref="C38" r:id="rId171"/>
    <hyperlink xmlns:r="http://schemas.openxmlformats.org/officeDocument/2006/relationships" ref="D38" r:id="rId172"/>
    <hyperlink xmlns:r="http://schemas.openxmlformats.org/officeDocument/2006/relationships" ref="H38" r:id="rId173"/>
    <hyperlink xmlns:r="http://schemas.openxmlformats.org/officeDocument/2006/relationships" ref="AF38" r:id="rId174"/>
    <hyperlink xmlns:r="http://schemas.openxmlformats.org/officeDocument/2006/relationships" ref="C39" r:id="rId175"/>
    <hyperlink xmlns:r="http://schemas.openxmlformats.org/officeDocument/2006/relationships" ref="D39" r:id="rId176"/>
    <hyperlink xmlns:r="http://schemas.openxmlformats.org/officeDocument/2006/relationships" ref="H39" r:id="rId177"/>
    <hyperlink xmlns:r="http://schemas.openxmlformats.org/officeDocument/2006/relationships" ref="AF39" r:id="rId178"/>
    <hyperlink xmlns:r="http://schemas.openxmlformats.org/officeDocument/2006/relationships" ref="C40" r:id="rId179"/>
    <hyperlink xmlns:r="http://schemas.openxmlformats.org/officeDocument/2006/relationships" ref="D40" r:id="rId180"/>
    <hyperlink xmlns:r="http://schemas.openxmlformats.org/officeDocument/2006/relationships" ref="H40" r:id="rId181"/>
    <hyperlink xmlns:r="http://schemas.openxmlformats.org/officeDocument/2006/relationships" ref="AF40" r:id="rId182"/>
    <hyperlink xmlns:r="http://schemas.openxmlformats.org/officeDocument/2006/relationships" ref="C41" r:id="rId183"/>
    <hyperlink xmlns:r="http://schemas.openxmlformats.org/officeDocument/2006/relationships" ref="D41" r:id="rId184"/>
    <hyperlink xmlns:r="http://schemas.openxmlformats.org/officeDocument/2006/relationships" ref="H41" r:id="rId185"/>
    <hyperlink xmlns:r="http://schemas.openxmlformats.org/officeDocument/2006/relationships" ref="W41" r:id="rId186"/>
    <hyperlink xmlns:r="http://schemas.openxmlformats.org/officeDocument/2006/relationships" ref="AF41" r:id="rId187"/>
    <hyperlink xmlns:r="http://schemas.openxmlformats.org/officeDocument/2006/relationships" ref="C42" r:id="rId188"/>
    <hyperlink xmlns:r="http://schemas.openxmlformats.org/officeDocument/2006/relationships" ref="D42" r:id="rId189"/>
    <hyperlink xmlns:r="http://schemas.openxmlformats.org/officeDocument/2006/relationships" ref="H42" r:id="rId190"/>
    <hyperlink xmlns:r="http://schemas.openxmlformats.org/officeDocument/2006/relationships" ref="W42" r:id="rId191"/>
    <hyperlink xmlns:r="http://schemas.openxmlformats.org/officeDocument/2006/relationships" ref="AF42" r:id="rId192"/>
    <hyperlink xmlns:r="http://schemas.openxmlformats.org/officeDocument/2006/relationships" ref="C43" r:id="rId193"/>
    <hyperlink xmlns:r="http://schemas.openxmlformats.org/officeDocument/2006/relationships" ref="D43" r:id="rId194"/>
    <hyperlink xmlns:r="http://schemas.openxmlformats.org/officeDocument/2006/relationships" ref="H43" r:id="rId195"/>
    <hyperlink xmlns:r="http://schemas.openxmlformats.org/officeDocument/2006/relationships" ref="AF43" r:id="rId19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49"/>
  <sheetViews>
    <sheetView showGridLines="1" workbookViewId="0">
      <selection activeCell="A1" sqref="A1"/>
    </sheetView>
  </sheetViews>
  <sheetFormatPr baseColWidth="8" defaultRowHeight="15"/>
  <cols>
    <col width="34" customWidth="1" min="1" max="1"/>
    <col width="28" customWidth="1" min="2" max="2"/>
    <col width="49" customWidth="1" min="3" max="3"/>
    <col width="32" customWidth="1" min="4" max="4"/>
    <col width="32" customWidth="1" min="5" max="5"/>
    <col width="38" customWidth="1" min="6" max="6"/>
    <col width="16" customWidth="1" min="7" max="7"/>
    <col width="49" customWidth="1" min="8" max="8"/>
    <col width="17" customWidth="1" min="9" max="9"/>
    <col width="65" customWidth="1" min="10" max="10"/>
    <col width="65"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65" customWidth="1" min="20" max="20"/>
    <col width="65" customWidth="1" min="21" max="21"/>
    <col width="65" customWidth="1" min="22" max="22"/>
    <col width="49" customWidth="1" min="23" max="23"/>
    <col width="65" customWidth="1" min="24" max="24"/>
    <col width="53" customWidth="1" min="25" max="25"/>
    <col width="30" customWidth="1" min="26" max="26"/>
    <col width="20" customWidth="1" min="27" max="27"/>
    <col width="49" customWidth="1" min="28" max="28"/>
    <col width="56" customWidth="1" min="29" max="29"/>
    <col width="65" customWidth="1" min="30" max="30"/>
    <col width="18" customWidth="1" min="31" max="31"/>
    <col width="49" customWidth="1" min="32" max="32"/>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Matched Count</t>
        </is>
      </c>
      <c r="J1" s="1" t="inlineStr">
        <is>
          <t>Matched Fields</t>
        </is>
      </c>
      <c r="K1" s="1" t="inlineStr">
        <is>
          <t>Latest Paper / Publication</t>
        </is>
      </c>
      <c r="L1" s="1" t="inlineStr">
        <is>
          <t>Recent Papers (2024-2026)</t>
        </is>
      </c>
      <c r="M1" s="1" t="inlineStr">
        <is>
          <t>Top Cited Papers</t>
        </is>
      </c>
      <c r="N1" s="1" t="inlineStr">
        <is>
          <t>Courses Taught</t>
        </is>
      </c>
      <c r="O1" s="1" t="inlineStr">
        <is>
          <t>Recent Awards / Honors</t>
        </is>
      </c>
      <c r="P1" s="1" t="inlineStr">
        <is>
          <t>Cold Email / Application Instructions</t>
        </is>
      </c>
      <c r="Q1" s="1" t="inlineStr">
        <is>
          <t>Google Scholar Tags</t>
        </is>
      </c>
      <c r="R1" s="1" t="inlineStr">
        <is>
          <t>Research Interests</t>
        </is>
      </c>
      <c r="S1" s="1" t="inlineStr">
        <is>
          <t>Expertise Areas</t>
        </is>
      </c>
      <c r="T1" s="1" t="inlineStr">
        <is>
          <t>Research / Bio Summary</t>
        </is>
      </c>
      <c r="U1" s="1" t="inlineStr">
        <is>
          <t>Education / Degrees</t>
        </is>
      </c>
      <c r="V1" s="1" t="inlineStr">
        <is>
          <t>Lab / Research Group Name</t>
        </is>
      </c>
      <c r="W1" s="1" t="inlineStr">
        <is>
          <t>Lab / Personal Website</t>
        </is>
      </c>
      <c r="X1" s="1" t="inlineStr">
        <is>
          <t>Actively Hiring / Openings</t>
        </is>
      </c>
      <c r="Y1" s="1" t="inlineStr">
        <is>
          <t>Target Skills / Prerequisites</t>
        </is>
      </c>
      <c r="Z1" s="1" t="inlineStr">
        <is>
          <t>Lab Facilities &amp; Equipment</t>
        </is>
      </c>
      <c r="AA1" s="1" t="inlineStr">
        <is>
          <t>Funding Sponsors</t>
        </is>
      </c>
      <c r="AB1" s="1" t="inlineStr">
        <is>
          <t>Software / Code Repo</t>
        </is>
      </c>
      <c r="AC1" s="1" t="inlineStr">
        <is>
          <t>Latest Project / Highlight</t>
        </is>
      </c>
      <c r="AD1" s="1" t="inlineStr">
        <is>
          <t>Office Location</t>
        </is>
      </c>
      <c r="AE1" s="1" t="inlineStr">
        <is>
          <t>Is Field Match</t>
        </is>
      </c>
      <c r="AF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8</v>
      </c>
      <c r="J2" s="2" t="inlineStr">
        <is>
          <t>aerospace, cfd, computational fluid dynamics, dns, fluid dynamics, fluid-structure interaction, multiphase flow, turbulent</t>
        </is>
      </c>
      <c r="K2" s="2" t="inlineStr">
        <is>
          <t>Refereed Journal Papers M. H. Kasbaoui and M. Herrmann, A high-fidelity methodology for particle-resolved direct numerical simu...</t>
        </is>
      </c>
      <c r="L2" s="2" t="inlineStr">
        <is>
          <t>"Modelling the wall slip in large eddy simulations with immersed boundaries" [Journal of Fluid Mechanics] (2026) | "Dynamics of an oscillatory boundary layer over a sediment bed in Euler–Lagrange simulations" [Journal of Fluid Mechanics] (2025) | "Modeling the wall-slip in large eddy simulations with immersed boundaries" [arXiv (Cornell University)] (2025)</t>
        </is>
      </c>
      <c r="M2" s="2" t="inlineStr">
        <is>
          <t>"Clustering in Euler–Euler and Euler–Lagrange simulations of unbounded homogeneous particle-laden shear" [Journal of Fluid Mechanics] (2018, 40 cites) | "Accelerated decay of a Lamb–Oseen vortex tube laden with inertial particles in Eulerian–Lagrangian simulations" [Journal of Fluid Mechanics] (2022, 22 cites) | "Reynolds number scaling of burning rates in spherical turbulent premixed flames" [Journal of Fluid Mechanics] (2020, 20 cites)</t>
        </is>
      </c>
      <c r="N2" s="2" t="inlineStr">
        <is>
          <t>MAE 242: Intro to Fluid Mechanics | MAE 574: Multiphase Flow | MAE 501: Linear Algebra in Engineering</t>
        </is>
      </c>
      <c r="O2" s="2" t="inlineStr"/>
      <c r="P2" s="2" t="inlineStr"/>
      <c r="Q2" s="2" t="inlineStr">
        <is>
          <t>Particle Dynamics in Fluid Flows, Fluid Dynamics and Turbulent Flows, Granular flow and fluidized beds, Aeolian processes and effects, Lattice Boltzmann Simulation Studies</t>
        </is>
      </c>
      <c r="R2" s="2" t="inlineStr"/>
      <c r="S2" s="2" t="inlineStr"/>
      <c r="T2" s="2" t="inlineStr">
        <is>
          <t>Kasbaoui's research interests include computational fluid dynamics, numerical methods, and massively parallel simulations of multiphase and particle-laden flows for environmental and aerospace applications.</t>
        </is>
      </c>
      <c r="U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V2" s="2" t="inlineStr">
        <is>
          <t>Multiphase Flow and Fluid-Structure Interaction Group</t>
        </is>
      </c>
      <c r="W2" s="3">
        <f>HYPERLINK("https://kasbaoui.bitbucket.io", "https://kasbaoui.bitbucket.io")</f>
        <v/>
      </c>
      <c r="X2" s="2" t="inlineStr"/>
      <c r="Y2" s="2" t="inlineStr">
        <is>
          <t>CFD</t>
        </is>
      </c>
      <c r="Z2" s="2" t="inlineStr"/>
      <c r="AA2" s="2" t="inlineStr">
        <is>
          <t>AFOSR</t>
        </is>
      </c>
      <c r="AB2" s="3">
        <f>HYPERLINK("https://bitbucket.org/krgasu/leap/downloads/leap-v0.8.2.tar.gz", "https://bitbucket.org/krgasu/leap/downloads/leap-v0.8.2.tar.gz, https://bitbucket.org/krgasu/leap/src/master")</f>
        <v/>
      </c>
      <c r="AC2" s="2" t="inlineStr">
        <is>
          <t>School for Engineering of Matter, Transport &amp; Energy</t>
        </is>
      </c>
      <c r="AD2" s="2" t="inlineStr">
        <is>
          <t>Campus: Tempe</t>
        </is>
      </c>
      <c r="AE2" s="2" t="b">
        <v>1</v>
      </c>
      <c r="AF2" s="3">
        <f>HYPERLINK("https://faculty.engineering.asu.edu/directory/semte/aerospace-and-mechanical-engineering/", "https://faculty.engineering.asu.edu/directory/semte/aerospace-and-mechanical-engineering/")</f>
        <v/>
      </c>
    </row>
    <row r="3">
      <c r="A3" s="2" t="inlineStr">
        <is>
          <t>Liping Wang</t>
        </is>
      </c>
      <c r="B3" s="2" t="inlineStr">
        <is>
          <t>Arizona State University</t>
        </is>
      </c>
      <c r="C3" s="3">
        <f>HYPERLINK("https://search.asu.edu/profile/lwang78", "https://search.asu.edu/profile/lwang78")</f>
        <v/>
      </c>
      <c r="D3" s="3">
        <f>HYPERLINK("https://scholar.google.com/citations?view_op=search_authors&amp;mauthors=Liping%20Wang%20Arizona%20State%20University", "Google Scholar Search")</f>
        <v/>
      </c>
      <c r="E3" s="2" t="inlineStr">
        <is>
          <t>Associate Professor</t>
        </is>
      </c>
      <c r="F3" s="2" t="inlineStr">
        <is>
          <t>Aerospace &amp; Mechanical Engineering</t>
        </is>
      </c>
      <c r="G3" s="2" t="inlineStr"/>
      <c r="H3" s="3">
        <f>HYPERLINK("mailto:Liping.Wang@asu.edu", "Liping.Wang@asu.edu")</f>
        <v/>
      </c>
      <c r="I3" s="2" t="n">
        <v>7</v>
      </c>
      <c r="J3" s="2" t="inlineStr">
        <is>
          <t>aerospace, guidance, heat transfer, materials, metamaterials, radiation, thermal</t>
        </is>
      </c>
      <c r="K3" s="2" t="inlineStr">
        <is>
          <t>One PhD position available for Fall 2024 on AFM based near-field thermal measurement! ($32k/year stipend + tuition + benefit)</t>
        </is>
      </c>
      <c r="L3" s="2" t="inlineStr">
        <is>
          <t>"Self-adaptive thermal regulation with broadband variable emittance coatings" [Solar Energy Materials and Solar Cells] (2026) | "A Study on the Integration of Teaching on Borrowing Costs and Financing Costs in International Trade Enterprises Under the Guidance of Ideological and Political Education in the Curriculum" [Educational and Humanities] (2026) | "A Supply-Chain Assessment of Water Resource Allocation in China’s National Water Network and Water-Diversion Projects" [Engineering] (2026)</t>
        </is>
      </c>
      <c r="M3" s="2" t="inlineStr">
        <is>
          <t>"Perfect selective metamaterial solar absorbers" [Optics Express] (2013, 350 cites) | "Highly efficient selective metamaterial absorber for high-temperature solar thermal energy harvesting" [Solar Energy Materials and Solar Cells] (2015, 302 cites) | "Coherent thermal emission by excitation of magnetic polaritons between periodic strips and a metallic film" [Optics Express] (2008, 260 cites)</t>
        </is>
      </c>
      <c r="N3" s="2" t="inlineStr">
        <is>
          <t>MAE 584: Internship | MAE 593: Applied Project | MAE 241: Intro to Thermodynamics</t>
        </is>
      </c>
      <c r="O3" s="2" t="inlineStr">
        <is>
          <t>2017         AFOSR Young Investigator (YIP) Award,  ASU | 2016         JQSRT/Elsevier Viskanta Young Scientist Award,  ASU</t>
        </is>
      </c>
      <c r="P3" s="2" t="inlineStr">
        <is>
          <t>Please send your CV to Prof. Wang ( [email protected] ). We will try to get back to you ASAP with possible available positions. Please also send a 2-page statement on describing your previous research experience as well as how your research interests match Prof. Wang’s group’s research themes. | Please send Prof. Wang ( [email protected] ) with your resumes for applications and for more details on the projects.</t>
        </is>
      </c>
      <c r="Q3" s="2" t="inlineStr">
        <is>
          <t>Thermal Radiation and Cooling Technologies, Metamaterials and Metasurfaces Applications, Quantum Electrodynamics and Casimir Effect, Transition Metal Oxide Nanomaterials, Optical properties and cooling technologies in crystalline materials</t>
        </is>
      </c>
      <c r="R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S3" s="2" t="inlineStr"/>
      <c r="T3" s="2" t="inlineStr">
        <is>
          <t>Wang research interests include selective control of thermal emission/absorption using meta-materials for energy harvesting and near-field radiation heat transfer enhancement between meta-materials for thermophotovoltaics.</t>
        </is>
      </c>
      <c r="U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V3" s="2" t="inlineStr">
        <is>
          <t>Nanoscale Thermal Radiation Lab</t>
        </is>
      </c>
      <c r="W3" s="3">
        <f>HYPERLINK("http://faculty.engineering.asu.edu/lpwang", "http://faculty.engineering.asu.edu/lpwang")</f>
        <v/>
      </c>
      <c r="X3" s="2" t="inlineStr">
        <is>
          <t>Multiple UG/MS research positions available for Fall 2024 (volunteer) and Spring/Summer 2025 (possible FURI / MORE support)</t>
        </is>
      </c>
      <c r="Y3" s="2" t="inlineStr"/>
      <c r="Z3" s="2" t="inlineStr">
        <is>
          <t>AFM</t>
        </is>
      </c>
      <c r="AA3" s="2" t="inlineStr">
        <is>
          <t>NASA, NSF</t>
        </is>
      </c>
      <c r="AB3" s="2" t="inlineStr"/>
      <c r="AC3" s="2" t="inlineStr">
        <is>
          <t>News&amp;Awards</t>
        </is>
      </c>
      <c r="AD3" s="2" t="inlineStr">
        <is>
          <t>ENGRC 327 (Tempe, AZ 85287-6106)</t>
        </is>
      </c>
      <c r="AE3" s="2" t="b">
        <v>1</v>
      </c>
      <c r="AF3" s="3">
        <f>HYPERLINK("https://faculty.engineering.asu.edu/directory/semte/aerospace-and-mechanical-engineering/", "https://faculty.engineering.asu.edu/directory/semte/aerospace-and-mechanical-engineering/")</f>
        <v/>
      </c>
    </row>
    <row r="4">
      <c r="A4" s="2" t="inlineStr">
        <is>
          <t>Jay Oswald</t>
        </is>
      </c>
      <c r="B4" s="2" t="inlineStr">
        <is>
          <t>Arizona State University</t>
        </is>
      </c>
      <c r="C4" s="3">
        <f>HYPERLINK("https://search.asu.edu/profile/joswald1", "https://search.asu.edu/profile/joswald1")</f>
        <v/>
      </c>
      <c r="D4" s="3">
        <f>HYPERLINK("https://scholar.google.com/citations?view_op=search_authors&amp;mauthors=Jay%20Oswald%20Arizona%20State%20University", "Google Scholar Search")</f>
        <v/>
      </c>
      <c r="E4" s="2" t="inlineStr">
        <is>
          <t>Associate Professor</t>
        </is>
      </c>
      <c r="F4" s="2" t="inlineStr">
        <is>
          <t>Aerospace &amp; Mechanical Engineering</t>
        </is>
      </c>
      <c r="G4" s="2" t="inlineStr"/>
      <c r="H4" s="3">
        <f>HYPERLINK("mailto:joswald1@asu.edu", "joswald1@asu.edu")</f>
        <v/>
      </c>
      <c r="I4" s="2" t="n">
        <v>6</v>
      </c>
      <c r="J4" s="2" t="inlineStr">
        <is>
          <t>estimation, finite element, materials, robot, robotics, solid mechanics</t>
        </is>
      </c>
      <c r="K4" s="2" t="inlineStr"/>
      <c r="L4" s="2" t="inlineStr">
        <is>
          <t>"Influence of beam oscillation on keyhole stability and porosity in aluminum laser welding" [Journal of Materials Processing Technology] (2025) | "Influence of Topological Segment Length on the Mechanical Properties of Semicrystalline Polyethylene: A Bias-Controlled Monte Carlo Approach" [Macromolecules] (2025) | "Beam Oscillation Mechanisms for Porosity Reduction in Aluminum Laser Welding for Battery Applications" [SSRN Electronic Journal] (2025)</t>
        </is>
      </c>
      <c r="M4" s="2" t="inlineStr">
        <is>
          <t>"Aging of microplastics increases their adsorption affinity towards organic contaminants" [Chemosphere] (2022, 351 cites) | "Simultaneous Iterative Boltzmann Inversion for Coarse-Graining of Polyurea" [Macromolecules] (2014, 113 cites) | "A coupled quantum/continuum mechanics study of graphene fracture" [International Journal of Fracture] (2012, 99 cites)</t>
        </is>
      </c>
      <c r="N4" s="2" t="inlineStr">
        <is>
          <t>MAE 404: Finite Elements in Engineering | MAE 503: Finite Elements in Engineering | MAE 593: Applied Project</t>
        </is>
      </c>
      <c r="O4" s="2" t="inlineStr"/>
      <c r="P4" s="2" t="inlineStr">
        <is>
          <t>If you're interested in joining our group, please email Prof. Oswald with your CV, research interests, and any supporting materials such as publications or code samples.</t>
        </is>
      </c>
      <c r="Q4" s="2" t="inlineStr">
        <is>
          <t>Numerical methods in engineering, Microstructure and mechanical properties, Tribology and Lubrication Engineering, Composite Material Mechanics, Structural Response to Dynamic Loads</t>
        </is>
      </c>
      <c r="R4" s="2" t="inlineStr">
        <is>
          <t>Development of computational mechanics: finite element methods, molecular dynamics, multiscale methods, failure analysis, and material design.</t>
        </is>
      </c>
      <c r="S4" s="2" t="inlineStr"/>
      <c r="T4" s="2" t="inlineStr">
        <is>
          <t>Dr. Oswald develops computational and AI-driven methods for advanced manufacturing, including laser welding, automated inspection, robotics, and computational mechanics.</t>
        </is>
      </c>
      <c r="U4" s="2" t="inlineStr">
        <is>
          <t>Ph.D. Mechanical Engineering, Northwestern University, Evanston, IL 2011 | M.S. Mechanical Engineering, Case Western Reserve University, Cleveland, OH 2005 | B.S. Mechanical Engineering, Case Western Reserve University, Cleveland, OH 2004</t>
        </is>
      </c>
      <c r="V4" s="2" t="inlineStr">
        <is>
          <t>Computational Mechanics Lab</t>
        </is>
      </c>
      <c r="W4" s="3">
        <f>HYPERLINK("http://sparky.fulton.asu.edu/oswald/", "http://sparky.fulton.asu.edu/oswald/")</f>
        <v/>
      </c>
      <c r="X4" s="2" t="inlineStr"/>
      <c r="Y4" s="2" t="inlineStr"/>
      <c r="Z4" s="2" t="inlineStr"/>
      <c r="AA4" s="2" t="inlineStr"/>
      <c r="AB4" s="2" t="inlineStr"/>
      <c r="AC4" s="2" t="inlineStr">
        <is>
          <t>Multiscale polymer analysis</t>
        </is>
      </c>
      <c r="AD4" s="2" t="inlineStr">
        <is>
          <t>ENGRC 353 (Tempe, AZ 85287-6106)</t>
        </is>
      </c>
      <c r="AE4" s="2" t="b">
        <v>1</v>
      </c>
      <c r="AF4" s="3">
        <f>HYPERLINK("https://faculty.engineering.asu.edu/directory/semte/aerospace-and-mechanical-engineering/", "https://faculty.engineering.asu.edu/directory/semte/aerospace-and-mechanical-engineering/")</f>
        <v/>
      </c>
    </row>
    <row r="5">
      <c r="A5" s="2" t="inlineStr">
        <is>
          <t>Jiefeng Sun</t>
        </is>
      </c>
      <c r="B5" s="2" t="inlineStr">
        <is>
          <t>Arizona State University</t>
        </is>
      </c>
      <c r="C5" s="3">
        <f>HYPERLINK("https://search.asu.edu/profile/jsun165", "https://search.asu.edu/profile/jsun165")</f>
        <v/>
      </c>
      <c r="D5" s="3">
        <f>HYPERLINK("https://scholar.google.com/citations?hl=en&amp;user=fjUoHOsAAAAJ", "Scholar (fjUoHOsAAAAJ)")</f>
        <v/>
      </c>
      <c r="E5" s="2" t="inlineStr">
        <is>
          <t>Assistant Professor</t>
        </is>
      </c>
      <c r="F5" s="2" t="inlineStr">
        <is>
          <t>Aerospace &amp; Mechanical Engineering</t>
        </is>
      </c>
      <c r="G5" s="2" t="inlineStr">
        <is>
          <t>fjUoHOsAAAAJ</t>
        </is>
      </c>
      <c r="H5" s="3">
        <f>HYPERLINK("mailto:Jiefeng.Sun@asu.edu", "Jiefeng.Sun@asu.edu")</f>
        <v/>
      </c>
      <c r="I5" s="2" t="n">
        <v>6</v>
      </c>
      <c r="J5" s="2" t="inlineStr">
        <is>
          <t>aerospace, autonomous, materials, robot, robotics, smart materials</t>
        </is>
      </c>
      <c r="K5" s="2" t="inlineStr">
        <is>
          <t>2026 Versatile artificial muscles by decoupling anisotropy Eric Weissman, Rohan Khatavkar, and Jiefeng Sun Proceedings of the N...</t>
        </is>
      </c>
      <c r="L5" s="2" t="inlineStr">
        <is>
          <t>"Real-Time Shape Control of Multi-Segment Soft Robotic Arms Using Koopman Operators with Global and Local Observables" [arXiv (Cornell University)] (2026) | "Impact of a Soft Wearable Back-Support Device on Postural Stability During Trip-Like Perturbations" (2026) | "Improved Postural Stability Using a Lightweight Semi-Active Soft Back Support Device Under Standing Perturbations" [arXiv (Cornell University)] (2026)</t>
        </is>
      </c>
      <c r="M5" s="2" t="inlineStr">
        <is>
          <t>"Leveraging elastic instabilities for amplified performance: Spine-inspired high-speed and high-force soft robots" [Science Advances] (2020, 497 cites) | "Twisted-and-Coiled Actuators with Free Strokes Enable Soft Robots with Programmable Motions" [Soft Robotics] (2020, 100 cites) | "Embedded shape morphing for morphologically adaptive robots" [Nature Communications] (2023, 97 cites)</t>
        </is>
      </c>
      <c r="N5" s="2" t="inlineStr">
        <is>
          <t>MAE 547: Modeling and Control of Robots | MAE 593: Applied Project | MAE 499: Individualized Instruction</t>
        </is>
      </c>
      <c r="O5" s="2" t="inlineStr"/>
      <c r="P5" s="2" t="inlineStr">
        <is>
          <t>To apply, interested candidates should submit an application to Arizona State University via https://webapp4.asu.edu/dgsadmissions/ , specifying their interest in working with Dr. Sun. Additionally, they should send an email titled “Prospective Ph.D. Student” to jiefeng.sun@asu.edu, attaching their CV and a cover letter before submitting their application. | I am seeking multiple highly motivated Master students or undergrads to conduct theses. To apply, interested candidates should fill in this form: https://forms.gle/RCwqu4wkCjhBUoFL7</t>
        </is>
      </c>
      <c r="Q5" s="2" t="inlineStr">
        <is>
          <t>Soft Robotics and Applications, Advanced Materials and Mechanics, Advanced Sensor and Energy Harvesting Materials, Prosthetics and Rehabilitation Robotics, Micro and Nano Robotics</t>
        </is>
      </c>
      <c r="R5" s="2" t="inlineStr">
        <is>
          <t>Hire students to conduct research https://sunroboticslab.github.io</t>
        </is>
      </c>
      <c r="S5" s="2" t="inlineStr">
        <is>
          <t>Autonomous Technologies, Control Systems, Mechanical Engineering, Robotics</t>
        </is>
      </c>
      <c r="T5" s="2" t="inlineStr">
        <is>
          <t>Sun's research focuses on the design, dynamics, and control of soft robots and artificial muscles</t>
        </is>
      </c>
      <c r="U5" s="2" t="inlineStr">
        <is>
          <t>Ph.D. in Robotics and Control, Colorado State University, 2022 M.S. in Mechanical Engineering, Dalian University of Technology, 2017 B.S. in Mechanical Engineering, Lanzhou University of Technology, 2014</t>
        </is>
      </c>
      <c r="V5" s="2" t="inlineStr">
        <is>
          <t>Sun Robotics Lab</t>
        </is>
      </c>
      <c r="W5" s="3">
        <f>HYPERLINK("https://sunroboticslab.github.io", "https://sunroboticslab.github.io")</f>
        <v/>
      </c>
      <c r="X5" s="2" t="inlineStr">
        <is>
          <t>I am seeking multiple highly motivated Master students or undergrads to conduct theses. To apply, interested candidates should fill in this form: https://forms.gle/RCwqu4wkCjhBUoFL7 | I am a K-12 student/teacher and would like information for a school report, tour, help with my robotics team, a research internship, etc. My students and I are very excited about using robotics as a teaching tool to encourage interest in Science, Technology, Engineering, and Math (STEM) topics. We actively involved in outreach and are have an outreach webpage to answer your questions.</t>
        </is>
      </c>
      <c r="Y5" s="2" t="inlineStr"/>
      <c r="Z5" s="2" t="inlineStr"/>
      <c r="AA5" s="2" t="inlineStr"/>
      <c r="AB5" s="2" t="inlineStr"/>
      <c r="AC5" s="2" t="inlineStr">
        <is>
          <t>Mission and Core Values</t>
        </is>
      </c>
      <c r="AD5" s="2" t="inlineStr">
        <is>
          <t>Campus: Tempe</t>
        </is>
      </c>
      <c r="AE5" s="2" t="b">
        <v>1</v>
      </c>
      <c r="AF5" s="3">
        <f>HYPERLINK("https://faculty.engineering.asu.edu/directory/semte/aerospace-and-mechanical-engineering/", "https://faculty.engineering.asu.edu/directory/semte/aerospace-and-mechanical-engineering/")</f>
        <v/>
      </c>
    </row>
    <row r="6">
      <c r="A6" s="2" t="inlineStr">
        <is>
          <t>Kangping Chen</t>
        </is>
      </c>
      <c r="B6" s="2" t="inlineStr">
        <is>
          <t>Arizona State University</t>
        </is>
      </c>
      <c r="C6" s="3">
        <f>HYPERLINK("https://search.asu.edu/profile/asuchen", "https://search.asu.edu/profile/asuchen")</f>
        <v/>
      </c>
      <c r="D6" s="3">
        <f>HYPERLINK("https://scholar.google.com/citations?hl=en&amp;user=xT-lX9sAAAAJ", "Scholar (xT-lX9sAAAAJ)")</f>
        <v/>
      </c>
      <c r="E6" s="2" t="inlineStr">
        <is>
          <t>Associate Professor</t>
        </is>
      </c>
      <c r="F6" s="2" t="inlineStr">
        <is>
          <t>Aerospace &amp; Mechanical Engineering</t>
        </is>
      </c>
      <c r="G6" s="2" t="inlineStr">
        <is>
          <t>xT-lX9sAAAAJ</t>
        </is>
      </c>
      <c r="H6" s="3">
        <f>HYPERLINK("mailto:k.p.chen@asu.edu", "k.p.chen@asu.edu")</f>
        <v/>
      </c>
      <c r="I6" s="2" t="n">
        <v>6</v>
      </c>
      <c r="J6" s="2" t="inlineStr">
        <is>
          <t>aerospace, computational fluid dynamics, fluid dynamics, fluid mechanics, guidance, multiphase flow</t>
        </is>
      </c>
      <c r="K6" s="2" t="inlineStr"/>
      <c r="L6" s="2" t="inlineStr">
        <is>
          <t>"Heterogeneous Feature Knowledge Distillation based on Enhanced Feature Projector Correlation" [Neural Networks] (2025) | "Deep learning and multi-omics reveal programmed cell death-associated diagnostic signatures and prognostic biomarkers in gastric cancer" [Frontiers in Immunology] (2025) | "Research on flexible job shop scheduling based on deep reinforcement learning with transformer-graph neural network" [Journal of Control and Decision] (2025)</t>
        </is>
      </c>
      <c r="M6" s="2" t="inlineStr">
        <is>
          <t>"Lubricated pipelining: stability of core-annular flow" [Journal of Fluid Mechanics] (1989, 202 cites) | "Lubricated pipelining: stability of core—annular flow. Part 5. Experiments and comparison with theory" [Journal of Fluid Mechanics] (1992, 163 cites) | "Pool-boiling enhancement by novel metallic nanoporous surface" [Experimental Thermal and Fluid Science] (2012, 112 cites)</t>
        </is>
      </c>
      <c r="N6" s="2" t="inlineStr">
        <is>
          <t>MAE 242: Intro to Fluid Mechanics | MAE 384: Adv Math Methods for Engineers | MAE 501: Linear Algebra in Engineering</t>
        </is>
      </c>
      <c r="O6" s="2" t="inlineStr"/>
      <c r="P6" s="2" t="inlineStr"/>
      <c r="Q6" s="2" t="inlineStr">
        <is>
          <t>Fluid Dynamics and Thin Films, Rheology and Fluid Dynamics Studies, Hydraulic Fracturing and Reservoir Analysis, Fluid Dynamics and Turbulent Flows, Drilling and Well Engineering</t>
        </is>
      </c>
      <c r="R6" s="2" t="inlineStr"/>
      <c r="S6" s="2" t="inlineStr"/>
      <c r="T6" s="2" t="inlineStr">
        <is>
          <t>Chen’s research interests include multiphase flows, drag reduction, airplane de-icing, interfacial instabilities and flow in porous media.</t>
        </is>
      </c>
      <c r="U6" s="2" t="inlineStr">
        <is>
          <t>Ph.D. Fluid Mechanics, University of Minnesota 1990 | B.S. Mechanics, Peking University, China 1982</t>
        </is>
      </c>
      <c r="V6" s="2" t="inlineStr"/>
      <c r="W6" s="2" t="inlineStr"/>
      <c r="X6" s="2" t="inlineStr"/>
      <c r="Y6" s="2" t="inlineStr"/>
      <c r="Z6" s="2" t="inlineStr"/>
      <c r="AA6" s="2" t="inlineStr"/>
      <c r="AB6" s="2" t="inlineStr"/>
      <c r="AC6" s="2" t="inlineStr"/>
      <c r="AD6" s="2" t="inlineStr">
        <is>
          <t>ENGRC 361 (TEMPE, AZ 85287-6106)</t>
        </is>
      </c>
      <c r="AE6" s="2" t="b">
        <v>1</v>
      </c>
      <c r="AF6" s="3">
        <f>HYPERLINK("https://faculty.engineering.asu.edu/directory/semte/aerospace-and-mechanical-engineering/", "https://faculty.engineering.asu.edu/directory/semte/aerospace-and-mechanical-engineering/")</f>
        <v/>
      </c>
    </row>
    <row r="7">
      <c r="A7" s="2" t="inlineStr">
        <is>
          <t>Kiran Ramesh</t>
        </is>
      </c>
      <c r="B7" s="2" t="inlineStr">
        <is>
          <t>Arizona State University</t>
        </is>
      </c>
      <c r="C7" s="3">
        <f>HYPERLINK("https://search.asu.edu/profile/kramesh2", "https://search.asu.edu/profile/kramesh2")</f>
        <v/>
      </c>
      <c r="D7" s="3">
        <f>HYPERLINK("https://scholar.google.com/citations?hl=en&amp;user=DKc-AgcAAAAJ", "Scholar (DKc-AgcAAAAJ)")</f>
        <v/>
      </c>
      <c r="E7" s="2" t="inlineStr">
        <is>
          <t>Associate Professor</t>
        </is>
      </c>
      <c r="F7" s="2" t="inlineStr">
        <is>
          <t>Aerospace &amp; Mechanical Engineering</t>
        </is>
      </c>
      <c r="G7" s="2" t="inlineStr">
        <is>
          <t>DKc-AgcAAAAJ</t>
        </is>
      </c>
      <c r="H7" s="3">
        <f>HYPERLINK("mailto:Kiran.Ramesh@asu.edu", "Kiran.Ramesh@asu.edu")</f>
        <v/>
      </c>
      <c r="I7" s="2" t="n">
        <v>6</v>
      </c>
      <c r="J7" s="2" t="inlineStr">
        <is>
          <t>aerodynamics, aerospace, flow control, fluid dynamics, turbulence, vortex dynamics</t>
        </is>
      </c>
      <c r="K7" s="2" t="inlineStr"/>
      <c r="L7" s="2" t="inlineStr"/>
      <c r="M7" s="2" t="inlineStr"/>
      <c r="N7" s="2" t="inlineStr">
        <is>
          <t>MAE 242: Intro to Fluid Mechanics | MAE 593: Applied Project | MAE 564: Advanced Aerodynamics</t>
        </is>
      </c>
      <c r="O7" s="2" t="inlineStr"/>
      <c r="P7" s="2" t="inlineStr"/>
      <c r="Q7" s="2" t="inlineStr"/>
      <c r="R7" s="2" t="inlineStr">
        <is>
          <t>Unsteady aerodynamics, vortex dynamics, flow control, turbulence, separated flows</t>
        </is>
      </c>
      <c r="S7" s="2" t="inlineStr"/>
      <c r="T7" s="2" t="inlineStr">
        <is>
          <t>Ramesh's expertise is in unsteady fluid dynamics, vortex dynamics, turbulence and flow control.</t>
        </is>
      </c>
      <c r="U7" s="2" t="inlineStr">
        <is>
          <t>PhD North Carolina State University</t>
        </is>
      </c>
      <c r="V7" s="2" t="inlineStr"/>
      <c r="W7" s="2" t="inlineStr"/>
      <c r="X7" s="2" t="inlineStr"/>
      <c r="Y7" s="2" t="inlineStr"/>
      <c r="Z7" s="2" t="inlineStr"/>
      <c r="AA7" s="2" t="inlineStr"/>
      <c r="AB7" s="2" t="inlineStr"/>
      <c r="AC7" s="2" t="inlineStr"/>
      <c r="AD7" s="2" t="inlineStr">
        <is>
          <t>Engineering research centre Room 383 551 E Tyler mall (Tempe, AZ 85281)</t>
        </is>
      </c>
      <c r="AE7" s="2" t="b">
        <v>1</v>
      </c>
      <c r="AF7" s="3">
        <f>HYPERLINK("https://faculty.engineering.asu.edu/directory/semte/aerospace-and-mechanical-engineering/", "https://faculty.engineering.asu.edu/directory/semte/aerospace-and-mechanical-engineering/")</f>
        <v/>
      </c>
    </row>
    <row r="8">
      <c r="A8" s="2" t="inlineStr">
        <is>
          <t>Kunal Garg</t>
        </is>
      </c>
      <c r="B8" s="2" t="inlineStr">
        <is>
          <t>Arizona State University</t>
        </is>
      </c>
      <c r="C8" s="3">
        <f>HYPERLINK("https://search.asu.edu/profile/kgarg24", "https://search.asu.edu/profile/kgarg24")</f>
        <v/>
      </c>
      <c r="D8" s="3">
        <f>HYPERLINK("https://scholar.google.com/citations?hl=en&amp;user=vs3pl-8AAAAJ", "Scholar (vs3pl-8AAAAJ)")</f>
        <v/>
      </c>
      <c r="E8" s="2" t="inlineStr">
        <is>
          <t>Assistant Professor</t>
        </is>
      </c>
      <c r="F8" s="2" t="inlineStr">
        <is>
          <t>Aerospace &amp; Mechanical Engineering</t>
        </is>
      </c>
      <c r="G8" s="2" t="inlineStr">
        <is>
          <t>vs3pl-8AAAAJ</t>
        </is>
      </c>
      <c r="H8" s="3">
        <f>HYPERLINK("mailto:kgarg24@asu.edu", "kgarg24@asu.edu")</f>
        <v/>
      </c>
      <c r="I8" s="2" t="n">
        <v>6</v>
      </c>
      <c r="J8" s="2" t="inlineStr">
        <is>
          <t>aerospace, autonomous, control theory, motion planning, robot, robotics</t>
        </is>
      </c>
      <c r="K8" s="2" t="inlineStr">
        <is>
          <t>Search this site Embedded Files Skip to main content Skip to navigation Kunal Garg Home People Teaching Research Publications K...</t>
        </is>
      </c>
      <c r="L8" s="2" t="inlineStr">
        <is>
          <t>"Measurement of CP asymmetries in $$ {\overline{B}}^0\to {D}_s^{-}{D}^{+} $$ and $$ {\overline{B}}_s^0\to {D}_s^{-}{D}^{-} $$ decays" [Journal of High Energy Physics] (2026) | "Machine learning techniques for jet reconstruction at LHCb and application to the search for $$ H\to b\overline{b} $$ and $$ H\to c\overline{c} $$ in $$ \sqrt{s}=13 $$ TeV pp collisions" [Journal of High Energy Physics] (2026) | "Improved branching-fraction measurements of $$ {B}_{(s)}^0\to {K}_{\mathrm{S}}^0{h}^{+}h{\prime}^{-} $$ decays and first observation of $$ {B}_s^0\to {K}_{\mathrm{S}}^0{K}^{+}{K}^{-} $$" [Journal of High Energy Physics] (2026)</t>
        </is>
      </c>
      <c r="M8" s="2" t="inlineStr">
        <is>
          <t>"Unveiling the strong interaction among hadrons at the LHC" [Nature] (2020, 196 cites) | "Multiplicity dependence of light-flavor hadron production in p p collisions at s = 7 TeV" [Physical Review C] (2019, 180 cites) | "The ALICE experiment: a journey through QCD" [The European Physical Journal C] (2024, 165 cites)</t>
        </is>
      </c>
      <c r="N8" s="2" t="inlineStr">
        <is>
          <t>MAE 417: System Dynamics and Control II | MAE 593: Applied Project | MAE 598: Special Topics</t>
        </is>
      </c>
      <c r="O8" s="2" t="inlineStr"/>
      <c r="P8" s="2" t="inlineStr">
        <is>
          <t>More specific topics that I will be interested in working on are: Multi-agent robotics Team robotics with aerial and ground robots Learning-based methods for safe robotics Optimization-based methods for safe robotic control Reinforcement learning for multi-objective robotic applications Large-Language Models (LLMs) in robotic applications The pre-requisites and background I am looking for are as follows: Strong interests in control, autonomy, and robotics Strong mathematical background in Linear Systems and Linear Algebra, ODEs, Probability, and Calculus Programming efficiency: Python (C/C++ is optional, but will be a good add-on as we will plan to conduct hardware experiments) Hands-on experience with ML packages (PyTorch or JAX) Hands-on experience with ROS or ROS2 Email me your CV along with a one or two-page document on why you are interested in working with me, what topic(s) you are interested in working on, what motivates you to work on those, which of the pre-requisites listed above you meet, and what's your plan for meeting the rest of the requirements</t>
        </is>
      </c>
      <c r="Q8" s="2" t="inlineStr">
        <is>
          <t>Particle physics theoretical and experimental studies, Quantum Chromodynamics and Particle Interactions, High-Energy Particle Collisions Research, Neutrino Physics Research, Dark Matter and Cosmic Phenomena</t>
        </is>
      </c>
      <c r="R8" s="2" t="inlineStr">
        <is>
          <t>Distributed multi-agent motion planning and control, Provably safe control design using machine learning-based certificates, Foundation models in complex robotic tasks, Failure prediction from limited demonstrations, Human-robot interaction.</t>
        </is>
      </c>
      <c r="S8" s="2" t="inlineStr">
        <is>
          <t>Control Systems, Dynamical Systems, Machine Learning, Nonlinear Dynamical Systems, Robotics</t>
        </is>
      </c>
      <c r="T8" s="2" t="inlineStr">
        <is>
          <t>Garg's research interests include control synthesis for multi-agent coordination using control theory and machine learning.</t>
        </is>
      </c>
      <c r="U8" s="2" t="inlineStr">
        <is>
          <t>PhD. Aerospace Engineering, University of Michigan, Ann Arbor, 2021 MS. Aerospace Engineering, University of Michigan, Ann Arbor, 2019 BTech. Aerospace Engineering, Indian Institute of Technology, Bombay, 2016</t>
        </is>
      </c>
      <c r="V8" s="2" t="inlineStr">
        <is>
          <t>Safe and Autonomous Robotics (STAR) Lab</t>
        </is>
      </c>
      <c r="W8" s="3">
        <f>HYPERLINK("https://sites.google.com/asu.edu/kunalgarg/", "https://sites.google.com/asu.edu/kunalgarg/")</f>
        <v/>
      </c>
      <c r="X8" s="2" t="inlineStr">
        <is>
          <t>Actively seeking graduate students (see lab link/instructions)</t>
        </is>
      </c>
      <c r="Y8" s="2" t="inlineStr">
        <is>
          <t>Python, PyTorch, ROS, ROS2, C/C++, Linear Algebra</t>
        </is>
      </c>
      <c r="Z8" s="2" t="inlineStr"/>
      <c r="AA8" s="2" t="inlineStr"/>
      <c r="AB8" s="2" t="inlineStr"/>
      <c r="AC8" s="2" t="inlineStr"/>
      <c r="AD8" s="2" t="inlineStr">
        <is>
          <t>551 E Tyler Mall ERC 475 (Tempe, AZ 85281)</t>
        </is>
      </c>
      <c r="AE8" s="2" t="b">
        <v>1</v>
      </c>
      <c r="AF8" s="3">
        <f>HYPERLINK("https://faculty.engineering.asu.edu/directory/semte/aerospace-and-mechanical-engineering/", "https://faculty.engineering.asu.edu/directory/semte/aerospace-and-mechanical-engineering/")</f>
        <v/>
      </c>
    </row>
    <row r="9">
      <c r="A9" s="2" t="inlineStr">
        <is>
          <t>Leixin Ma</t>
        </is>
      </c>
      <c r="B9" s="2" t="inlineStr">
        <is>
          <t>Arizona State University</t>
        </is>
      </c>
      <c r="C9" s="3">
        <f>HYPERLINK("https://search.asu.edu/profile/leixinma", "https://search.asu.edu/profile/leixinma")</f>
        <v/>
      </c>
      <c r="D9" s="3">
        <f>HYPERLINK("https://scholar.google.com/citations?hl=en&amp;user=2xQTOc0AAAAJ", "Scholar (2xQTOc0AAAAJ)")</f>
        <v/>
      </c>
      <c r="E9" s="2" t="inlineStr">
        <is>
          <t>Assistant Professor</t>
        </is>
      </c>
      <c r="F9" s="2" t="inlineStr">
        <is>
          <t>Aerospace &amp; Mechanical Engineering</t>
        </is>
      </c>
      <c r="G9" s="2" t="inlineStr">
        <is>
          <t>2xQTOc0AAAAJ</t>
        </is>
      </c>
      <c r="H9" s="3">
        <f>HYPERLINK("mailto:Leixin.Ma@asu.edu", "Leixin.Ma@asu.edu")</f>
        <v/>
      </c>
      <c r="I9" s="2" t="n">
        <v>6</v>
      </c>
      <c r="J9" s="2" t="inlineStr">
        <is>
          <t>aerodynamics, aerospace, fluid-structure interaction, fluids, materials, robot</t>
        </is>
      </c>
      <c r="K9" s="2" t="inlineStr">
        <is>
          <t>Search this site Embedded Files Skip to main content Skip to navigation OASIS group at ASU Home Research People Publications Ne...</t>
        </is>
      </c>
      <c r="L9" s="2" t="inlineStr">
        <is>
          <t>"HGTO: A Unified Graph-Based Physics-Informed Formulation for Structural Topology Optimization" [arXiv (Cornell University)] (2026) | "HGTO: A Unified Graph-Based Physics-Informed Formulation for Structural Topology Optimization" [arXiv (Cornell University)] (2026) | "Graph neural network-based aquaculture net modeling and inference — A frequency domain approach" [Ocean Engineering] (2026)</t>
        </is>
      </c>
      <c r="M9" s="2" t="inlineStr">
        <is>
          <t>"An investigation into the hydrodynamics of a flexible riser undergoing vortex-induced vibration" [Journal of Fluids and Structures] (2016, 178 cites) | "Theoretical and numerical analysis of bending behavior of unbonded flexible risers" [Marine Structures] (2015, 42 cites) | "Experimental investigation of the response performance of VIV on a flexible riser with helical strakes" [Ships and Offshore Structures] (2014, 39 cites)</t>
        </is>
      </c>
      <c r="N9" s="2" t="inlineStr">
        <is>
          <t>MAE 499: Individualized Instruction | MAE 202: Mech.Particles/Rigid Bodies II | MAE 318: System Dynamics and Control I</t>
        </is>
      </c>
      <c r="O9" s="2" t="inlineStr"/>
      <c r="P9"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Q9" s="2" t="inlineStr">
        <is>
          <t>Fluid Dynamics and Vibration Analysis, Vibration and Dynamic Analysis, Wind and Air Flow Studies, Marine Bivalve and Aquaculture Studies, Topology Optimization in Engineering</t>
        </is>
      </c>
      <c r="R9" s="2" t="inlineStr">
        <is>
          <t>Aerodynamics, Dynamical Systems, Machine Learning, Mechanics of Composite Materials</t>
        </is>
      </c>
      <c r="S9" s="2" t="inlineStr">
        <is>
          <t>Aerodynamics, Dynamical Systems, Machine Learning, Mechanics of Composite Materials</t>
        </is>
      </c>
      <c r="T9" s="2" t="inlineStr">
        <is>
          <t>Leixin Ma's career goal is a data-driven and physically consistent approach to modeling and designing programmable smart structures and robots, especially under complex fluid flow conditions.</t>
        </is>
      </c>
      <c r="U9" s="2" t="inlineStr">
        <is>
          <t>Ph.D. in Mechanical Engineering, Massachusetts Institute of Technology, 2021 S.M. in Mechanical Engineering, Massachusetts Institute of Technology, 2017 B.S.E. in Naval Architecture and Ocean Engineering, Shanghai Jiao Tong University, 2015</t>
        </is>
      </c>
      <c r="V9" s="2" t="inlineStr">
        <is>
          <t>Optimization, Autonomy, and Soft Intelligence Systems (OASIS) Lab</t>
        </is>
      </c>
      <c r="W9" s="3">
        <f>HYPERLINK("https://sites.google.com/view/oasislabasu", "https://sites.google.com/view/oasislabasu")</f>
        <v/>
      </c>
      <c r="X9"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Y9" s="2" t="inlineStr"/>
      <c r="Z9" s="2" t="inlineStr">
        <is>
          <t>Towing Tank, FDM</t>
        </is>
      </c>
      <c r="AA9" s="2" t="inlineStr"/>
      <c r="AB9" s="2" t="inlineStr"/>
      <c r="AC9" s="2" t="inlineStr">
        <is>
          <t>Ocean and Soft Intelligent Structure Interaction Lab</t>
        </is>
      </c>
      <c r="AD9" s="2" t="inlineStr">
        <is>
          <t>ERC 485 (Tempe, AZ 85287)</t>
        </is>
      </c>
      <c r="AE9" s="2" t="b">
        <v>1</v>
      </c>
      <c r="AF9" s="3">
        <f>HYPERLINK("https://faculty.engineering.asu.edu/directory/semte/aerospace-and-mechanical-engineering/", "https://faculty.engineering.asu.edu/directory/semte/aerospace-and-mechanical-engineering/")</f>
        <v/>
      </c>
    </row>
    <row r="10">
      <c r="A10" s="2" t="inlineStr">
        <is>
          <t>Gokul Pathikonda</t>
        </is>
      </c>
      <c r="B10" s="2" t="inlineStr">
        <is>
          <t>Arizona State University</t>
        </is>
      </c>
      <c r="C10" s="3">
        <f>HYPERLINK("https://search.asu.edu/profile/gpathiko", "https://search.asu.edu/profile/gpathiko")</f>
        <v/>
      </c>
      <c r="D10" s="3">
        <f>HYPERLINK("https://scholar.google.com/citations?view_op=search_authors&amp;mauthors=Gokul%20Pathikonda%20Arizona%20State%20University", "Google Scholar Search")</f>
        <v/>
      </c>
      <c r="E10" s="2" t="inlineStr">
        <is>
          <t>Assistant Professor</t>
        </is>
      </c>
      <c r="F10" s="2" t="inlineStr">
        <is>
          <t>Aerospace &amp; Mechanical Engineering</t>
        </is>
      </c>
      <c r="G10" s="2" t="inlineStr"/>
      <c r="H10" s="3">
        <f>HYPERLINK("mailto:Gokul.Pathikonda@asu.edu", "Gokul.Pathikonda@asu.edu")</f>
        <v/>
      </c>
      <c r="I10" s="2" t="n">
        <v>5</v>
      </c>
      <c r="J10" s="2" t="inlineStr">
        <is>
          <t>aerodynamics, aerospace, reacting flow, turbulence, turbulent</t>
        </is>
      </c>
      <c r="K10" s="2" t="inlineStr">
        <is>
          <t>There is an open post-doctoral opening starting Fall 2025 in experimental turbulence research . All students interested in join...</t>
        </is>
      </c>
      <c r="L10" s="2" t="inlineStr">
        <is>
          <t>"Bleeding flow characteristics downstream of isotropic porous square cylinders" [Journal of Fluid Mechanics] (2026) | "Coherent organisation of passive scalar from a point source in a turbulent boundary layer" [Journal of Fluid Mechanics] (2025) | "Turbulent/non-turbulent interface in Rayleigh–Taylor flows" [Journal of Turbulence] (2025)</t>
        </is>
      </c>
      <c r="M10" s="2" t="inlineStr">
        <is>
          <t>"Cross-stream stereoscopic particle image velocimetry of a modified turbulent boundary layer over directional surface pattern" [Journal of Fluid Mechanics] (2017, 120 cites) | "The transition to turbulence in shock-driven mixing: effects of Mach number and initial conditions" [Journal of Fluid Mechanics] (2019, 77 cites) | "Numerical analyses of high temperature dense, granular flows coupled to high temperature flow property measurements for solar thermal energy storage" [Solar Energy] (2020, 25 cites)</t>
        </is>
      </c>
      <c r="N10" s="2" t="inlineStr">
        <is>
          <t>MAE 575: Turbulence | MAE 593: Applied Project | MAE 499: Individualized Instruction</t>
        </is>
      </c>
      <c r="O10" s="2" t="inlineStr"/>
      <c r="P10" s="2" t="inlineStr"/>
      <c r="Q10" s="2" t="inlineStr">
        <is>
          <t>Fluid Dynamics and Turbulent Flows, Particle Dynamics in Fluid Flows, Laser-Plasma Interactions and Diagnostics, Wind and Air Flow Studies, Combustion and flame dynamics</t>
        </is>
      </c>
      <c r="R10" s="2" t="inlineStr">
        <is>
          <t>Aerodynamics, Aerospace Engineering, Mechanical Engineering</t>
        </is>
      </c>
      <c r="S10" s="2" t="inlineStr">
        <is>
          <t>Aerodynamics, Aerospace Engineering, Mechanical Engineering</t>
        </is>
      </c>
      <c r="T10" s="2" t="inlineStr">
        <is>
          <t>Dr. Pathikonda studies turbulent fluid flows to understand natural and engineering phenomena using lab experiments. His expertise is in complex (reacting) mixing, high Re-flows, laser-based &amp; spectroscopic techniques, etc.</t>
        </is>
      </c>
      <c r="U10" s="2" t="inlineStr">
        <is>
          <t>Ph. D. Theoretical and Applied Mechanics, University of Illinois, Urbana Champaign, 2017 | MS Aerospace Engineering, University of Illinois, Urbana Champaign, 2013 | B. Tech. Mechanical Engineering, National Institute of Technology, Warangal, 2009</t>
        </is>
      </c>
      <c r="V10" s="2" t="inlineStr"/>
      <c r="W10" s="3">
        <f>HYPERLINK("https://faculty.engineering.asu.edu/cmat/", "https://faculty.engineering.asu.edu/cmat/")</f>
        <v/>
      </c>
      <c r="X10" s="2" t="inlineStr"/>
      <c r="Y10" s="2" t="inlineStr"/>
      <c r="Z10" s="2" t="inlineStr"/>
      <c r="AA10" s="2" t="inlineStr"/>
      <c r="AB10" s="2" t="inlineStr"/>
      <c r="AC10" s="2" t="inlineStr">
        <is>
          <t>Want to be part of CMAT Lab?</t>
        </is>
      </c>
      <c r="AD10" s="2" t="inlineStr">
        <is>
          <t>551 E Tyler Mall ERC 479 (Tempe, AZ 85281)</t>
        </is>
      </c>
      <c r="AE10" s="2" t="b">
        <v>1</v>
      </c>
      <c r="AF10" s="3">
        <f>HYPERLINK("https://faculty.engineering.asu.edu/directory/semte/aerospace-and-mechanical-engineering/", "https://faculty.engineering.asu.edu/directory/semte/aerospace-and-mechanical-engineering/")</f>
        <v/>
      </c>
    </row>
    <row r="11">
      <c r="A11" s="2" t="inlineStr">
        <is>
          <t>Marcus Herrmann</t>
        </is>
      </c>
      <c r="B11" s="2" t="inlineStr">
        <is>
          <t>Arizona State University</t>
        </is>
      </c>
      <c r="C11" s="3">
        <f>HYPERLINK("https://search.asu.edu/profile/mherrma1", "https://search.asu.edu/profile/mherrma1")</f>
        <v/>
      </c>
      <c r="D11" s="3">
        <f>HYPERLINK("https://scholar.google.com/citations?hl=en&amp;user=yv6aCW8AAAAJ", "Scholar (yv6aCW8AAAAJ)")</f>
        <v/>
      </c>
      <c r="E11" s="2" t="inlineStr">
        <is>
          <t>Professor</t>
        </is>
      </c>
      <c r="F11" s="2" t="inlineStr">
        <is>
          <t>Aerospace &amp; Mechanical Engineering</t>
        </is>
      </c>
      <c r="G11" s="2" t="inlineStr">
        <is>
          <t>yv6aCW8AAAAJ</t>
        </is>
      </c>
      <c r="H11" s="3">
        <f>HYPERLINK("mailto:Marcus.Herrmann@asu.edu", "Marcus.Herrmann@asu.edu")</f>
        <v/>
      </c>
      <c r="I11" s="2" t="n">
        <v>5</v>
      </c>
      <c r="J11" s="2" t="inlineStr">
        <is>
          <t>aerospace, fluid mechanics, multiphase flow, turbulence, turbulent</t>
        </is>
      </c>
      <c r="K11" s="2" t="inlineStr"/>
      <c r="L11" s="2" t="inlineStr">
        <is>
          <t>"A high-fidelity methodology for particle-resolved direct numerical simulations" [International Journal of Multiphase Flow] (2025) | "BPS2025 - Liquid nano-sheet sample delivery for femtosecond solution X-ray scattering" [Biophysical Journal] (2025) | "Characterization of the forcing and sub-filter scale terms in the volume-filtering immersed boundary method" [Journal of Computational Physics] (2025)</t>
        </is>
      </c>
      <c r="M11" s="2" t="inlineStr">
        <is>
          <t>"Modeling Primary Atomization" [Annual Review of Fluid Mechanics] (2008, 440 cites) | "A balanced force refined level set grid method for two-phase flows on unstructured flow solver grids" [Journal of Computational Physics] (2007, 316 cites) | "A parallel Eulerian interface tracking/Lagrangian point particle multi-scale coupling procedure" [Journal of Computational Physics] (2009, 235 cites)</t>
        </is>
      </c>
      <c r="N11" s="2" t="inlineStr">
        <is>
          <t>MAE 384: Adv Math Methods for Engineers | MAE 484: Internship | MAE 561: Computational Fluid Dynamics</t>
        </is>
      </c>
      <c r="O11" s="2" t="inlineStr"/>
      <c r="P11" s="2" t="inlineStr"/>
      <c r="Q11" s="2" t="inlineStr">
        <is>
          <t>Fluid Dynamics and Heat Transfer, Fluid Dynamics and Turbulent Flows, Particle Dynamics in Fluid Flows, Combustion and flame dynamics, Computational Fluid Dynamics and Aerodynamics</t>
        </is>
      </c>
      <c r="R11" s="2" t="inlineStr"/>
      <c r="S11" s="2" t="inlineStr"/>
      <c r="T11" s="2" t="inlineStr">
        <is>
          <t>Herrmann's research interests include fluid mechanics, modeling and numerical simulation of multiphase flows with a focus on turbulent atomization processes, and numerical methods for discontinuous interfaces.</t>
        </is>
      </c>
      <c r="U11" s="2" t="inlineStr">
        <is>
          <t>PhD in Mechanical Engineering, University of Technology (RWTH) Aachen, Germany 2001 | Diploma. Mechanical and Aerospace Engineering, University of Technology (RWTH) Aachen, Germany 1995</t>
        </is>
      </c>
      <c r="V11" s="2" t="inlineStr">
        <is>
          <t>Computational Multiphase Physics Laboratory</t>
        </is>
      </c>
      <c r="W11" s="2" t="inlineStr"/>
      <c r="X11" s="2" t="inlineStr"/>
      <c r="Y11" s="2" t="inlineStr"/>
      <c r="Z11" s="2" t="inlineStr"/>
      <c r="AA11" s="2" t="inlineStr"/>
      <c r="AB11" s="2" t="inlineStr"/>
      <c r="AC11" s="2" t="inlineStr"/>
      <c r="AD11" s="2" t="inlineStr">
        <is>
          <t>ENGRC 311 (TEMPE, AZ 85287-6106)</t>
        </is>
      </c>
      <c r="AE11" s="2" t="b">
        <v>1</v>
      </c>
      <c r="AF11" s="3">
        <f>HYPERLINK("https://faculty.engineering.asu.edu/directory/semte/aerospace-and-mechanical-engineering/", "https://faculty.engineering.asu.edu/directory/semte/aerospace-and-mechanical-engineering/")</f>
        <v/>
      </c>
    </row>
    <row r="12">
      <c r="A12" s="2" t="inlineStr">
        <is>
          <t>Spring Berman</t>
        </is>
      </c>
      <c r="B12" s="2" t="inlineStr">
        <is>
          <t>Arizona State University</t>
        </is>
      </c>
      <c r="C12" s="3">
        <f>HYPERLINK("https://search.asu.edu/profile/smberma2", "https://search.asu.edu/profile/smberma2")</f>
        <v/>
      </c>
      <c r="D12" s="3">
        <f>HYPERLINK("https://scholar.google.com/citations?hl=en&amp;user=KKup0OgAAAAJ", "Scholar (KKup0OgAAAAJ)")</f>
        <v/>
      </c>
      <c r="E12" s="2" t="inlineStr">
        <is>
          <t>Professor</t>
        </is>
      </c>
      <c r="F12" s="2" t="inlineStr">
        <is>
          <t>Aerospace &amp; Mechanical Engineering</t>
        </is>
      </c>
      <c r="G12" s="2" t="inlineStr">
        <is>
          <t>KKup0OgAAAAJ</t>
        </is>
      </c>
      <c r="H12" s="3">
        <f>HYPERLINK("mailto:Spring.Berman@asu.edu", "Spring.Berman@asu.edu")</f>
        <v/>
      </c>
      <c r="I12" s="2" t="n">
        <v>5</v>
      </c>
      <c r="J12" s="2" t="inlineStr">
        <is>
          <t>aerospace, autonomous, control theory, robot, robotics</t>
        </is>
      </c>
      <c r="K12" s="2" t="inlineStr"/>
      <c r="L12" s="2" t="inlineStr">
        <is>
          <t>"Robust optimal density control of robotic swarms" [Automatica] (2025) | "A Survey on Small-Scale Testbeds for Connected and Automated Vehicles and Robot Swarms: A Guide for Creating a New Testbed [Survey]" [IEEE Robotics &amp; Automation Magazine] (2024) | "PathFinder: Attention-Driven Dynamic Non-Line-of-Sight Tracking with a Mobile Robot" (2024)</t>
        </is>
      </c>
      <c r="M12" s="2" t="inlineStr">
        <is>
          <t>"Optimized Stochastic Policies for Task Allocation in Swarms of Robots" [IEEE Transactions on Robotics] (2009, 259 cites) | "Highly stretchable self-sensing actuator based on conductive photothermally-responsive hydrogel" [Materials Today] (2021, 221 cites) | "Experimental Study and Modeling of Group Retrieval in Ants as an Approach to Collective Transport in Swarm Robotic Systems" [Proceedings of the IEEE] (2011, 110 cites)</t>
        </is>
      </c>
      <c r="N12" s="2" t="inlineStr">
        <is>
          <t>MAE 318: System Dynamics and Control I | MAE 598: Special Topics | MAE 593: Applied Project</t>
        </is>
      </c>
      <c r="O12" s="2" t="inlineStr"/>
      <c r="P12" s="2" t="inlineStr"/>
      <c r="Q12" s="2" t="inlineStr">
        <is>
          <t>Distributed Control Multi-Agent Systems, Modular Robots and Swarm Intelligence, Mathematical and Theoretical Epidemiology and Ecology Models, Gene Regulatory Network Analysis, Micro and Nano Robotics</t>
        </is>
      </c>
      <c r="R12" s="2" t="inlineStr">
        <is>
          <t>Modeling, analysis, control, and optimization of multi-robot systems including robotic swarms; analysis of collective behaviors in biology and biologically-inspired control of distributed systems</t>
        </is>
      </c>
      <c r="S12" s="2" t="inlineStr">
        <is>
          <t>Systems and Control Theory, Mechanical Engineering, Autonomous Technologies, Robotics</t>
        </is>
      </c>
      <c r="T12" s="2" t="inlineStr">
        <is>
          <t>Dr. Berman directs the Autonomous Collective Systems Laboratory at ASU, which models and analyzes behaviors in biological and engineered collectives and designs control strategies for multi-robot systems.</t>
        </is>
      </c>
      <c r="U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V12" s="2" t="inlineStr">
        <is>
          <t>Autonomous Collective Systems (ACS) Laboratory</t>
        </is>
      </c>
      <c r="W12" s="3">
        <f>HYPERLINK("http://faculty.engineering.asu.edu/acs/", "http://faculty.engineering.asu.edu/acs/")</f>
        <v/>
      </c>
      <c r="X12" s="2" t="inlineStr"/>
      <c r="Y12" s="2" t="inlineStr"/>
      <c r="Z12" s="2" t="inlineStr"/>
      <c r="AA12" s="2" t="inlineStr"/>
      <c r="AB12" s="2" t="inlineStr"/>
      <c r="AC12" s="2" t="inlineStr"/>
      <c r="AD12" s="2" t="inlineStr">
        <is>
          <t>ENGRC 375 (Tempe, AZ 85287-6106)</t>
        </is>
      </c>
      <c r="AE12" s="2" t="b">
        <v>1</v>
      </c>
      <c r="AF12" s="3">
        <f>HYPERLINK("https://faculty.engineering.asu.edu/directory/semte/aerospace-and-mechanical-engineering/", "https://faculty.engineering.asu.edu/directory/semte/aerospace-and-mechanical-engineering/")</f>
        <v/>
      </c>
    </row>
    <row r="13">
      <c r="A13" s="2" t="inlineStr">
        <is>
          <t>Zhe Xu</t>
        </is>
      </c>
      <c r="B13" s="2" t="inlineStr">
        <is>
          <t>Arizona State University</t>
        </is>
      </c>
      <c r="C13" s="3">
        <f>HYPERLINK("https://search.asu.edu/profile/xzhe1", "https://search.asu.edu/profile/xzhe1")</f>
        <v/>
      </c>
      <c r="D13" s="3">
        <f>HYPERLINK("https://scholar.google.com/citations?view_op=search_authors&amp;mauthors=Zhe%20Xu%20Arizona%20State%20University", "Google Scholar Search")</f>
        <v/>
      </c>
      <c r="E13" s="2" t="inlineStr">
        <is>
          <t>Assistant Professor</t>
        </is>
      </c>
      <c r="F13" s="2" t="inlineStr">
        <is>
          <t>Aerospace &amp; Mechanical Engineering</t>
        </is>
      </c>
      <c r="G13" s="2" t="inlineStr"/>
      <c r="H13" s="3">
        <f>HYPERLINK("mailto:xzhe1@asu.edu", "xzhe1@asu.edu")</f>
        <v/>
      </c>
      <c r="I13" s="2" t="n">
        <v>5</v>
      </c>
      <c r="J13" s="2" t="inlineStr">
        <is>
          <t>autonomous, control theory, energy systems, robot, robotics</t>
        </is>
      </c>
      <c r="K13" s="2" t="inlineStr">
        <is>
          <t>Search this site Embedded Files Skip to main content Skip to navigation Home Publications Research Teaching Group Members Outre...</t>
        </is>
      </c>
      <c r="L13" s="2" t="inlineStr">
        <is>
          <t>"A comprehensive CFD lifecycle dataset for marine vessel hydrodynamics" [Scientific Data] (2026) | "Current-Biased Informed RRT* for USV Path Planning in Flow Fields" (2026) | "Inferring Causal Graph Temporal Logic Formulas to Expedite Reinforcement Learning in Temporally Extended Tasks" [arXiv (Cornell University)] (2026)</t>
        </is>
      </c>
      <c r="M13" s="2" t="inlineStr">
        <is>
          <t>"The oyster genome reveals stress adaptation and complexity of shell formation" [Nature] (2012, 2316 cites) | "The pearl oyster Pinctada fucata martensii genome and multi-omic analyses provide insights into biomineralization" [GigaScience] (2017, 232 cites) | "Dynamics of microbial communities, texture and flavor in Suan zuo yu during fermentation" [Food Chemistry] (2020, 120 cites)</t>
        </is>
      </c>
      <c r="N13" s="2" t="inlineStr">
        <is>
          <t>MAE 506: Adv Sys Model, Dynamic, Contrl | MAE 318: System Dynamics and Control I | MAE 593: Applied Project</t>
        </is>
      </c>
      <c r="O13" s="2" t="inlineStr"/>
      <c r="P13" s="2" t="inlineStr"/>
      <c r="Q13" s="2" t="inlineStr">
        <is>
          <t>Marine Bivalve and Aquaculture Studies, Magnesium Alloys: Properties and Applications, Aluminum Alloys Composites Properties, Calcium Carbonate Crystallization and Inhibition, Meat and Animal Product Quality</t>
        </is>
      </c>
      <c r="R13" s="2" t="inlineStr">
        <is>
          <t>The research interests include control theory, machine learning, formal methods and autonomous systems.</t>
        </is>
      </c>
      <c r="S13" s="2" t="inlineStr">
        <is>
          <t>Artificial Intelligence, Control Systems, Electric Power and Energy Systems, Machine Learning, Robotics, Systems and Control Theory</t>
        </is>
      </c>
      <c r="T13" s="2" t="inlineStr">
        <is>
          <t>My research interests include control theory, formal methods, and machine learning (including reinforcement learning), with applications on autonomous systems and cyber-physical systems.</t>
        </is>
      </c>
      <c r="U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V13" s="2" t="inlineStr"/>
      <c r="W13" s="3">
        <f>HYPERLINK("https://sites.google.com/site/zhexudavid00710/research?authuser=0", "https://sites.google.com/site/zhexudavid00710/research?authuser=0")</f>
        <v/>
      </c>
      <c r="X13" s="2" t="inlineStr"/>
      <c r="Y13" s="2" t="inlineStr"/>
      <c r="Z13" s="2" t="inlineStr"/>
      <c r="AA13" s="2" t="inlineStr"/>
      <c r="AB13" s="2" t="inlineStr"/>
      <c r="AC13" s="2" t="inlineStr"/>
      <c r="AD13" s="2" t="inlineStr">
        <is>
          <t>Campus: Tempe</t>
        </is>
      </c>
      <c r="AE13" s="2" t="b">
        <v>1</v>
      </c>
      <c r="AF13" s="3">
        <f>HYPERLINK("https://faculty.engineering.asu.edu/directory/semte/aerospace-and-mechanical-engineering/", "https://faculty.engineering.asu.edu/directory/semte/aerospace-and-mechanical-engineering/")</f>
        <v/>
      </c>
    </row>
    <row r="14">
      <c r="A14" s="2" t="inlineStr">
        <is>
          <t>Jeonglae Kim</t>
        </is>
      </c>
      <c r="B14" s="2" t="inlineStr">
        <is>
          <t>Arizona State University</t>
        </is>
      </c>
      <c r="C14" s="3">
        <f>HYPERLINK("https://search.asu.edu/profile/jkim520", "https://search.asu.edu/profile/jkim520")</f>
        <v/>
      </c>
      <c r="D14" s="3">
        <f>HYPERLINK("https://scholar.google.com/citations?view_op=search_authors&amp;mauthors=Jeonglae%20Kim%20Arizona%20State%20University", "Google Scholar Search")</f>
        <v/>
      </c>
      <c r="E14" s="2" t="inlineStr">
        <is>
          <t>Assistant Professor</t>
        </is>
      </c>
      <c r="F14" s="2" t="inlineStr">
        <is>
          <t>Aerospace &amp; Mechanical Engineering</t>
        </is>
      </c>
      <c r="G14" s="2" t="inlineStr"/>
      <c r="H14" s="3">
        <f>HYPERLINK("mailto:jeokim@asu.edu", "jeokim@asu.edu")</f>
        <v/>
      </c>
      <c r="I14" s="2" t="n">
        <v>4</v>
      </c>
      <c r="J14" s="2" t="inlineStr">
        <is>
          <t>aerospace, flow control, turbulence, turbulent</t>
        </is>
      </c>
      <c r="K14" s="2" t="inlineStr"/>
      <c r="L14" s="2" t="inlineStr"/>
      <c r="M14" s="2" t="inlineStr">
        <is>
          <t>"Adjoint-based control of loud events in a turbulent jet" [Journal of Fluid Mechanics] (2014, 46 cites) | "LES Investigation of a Mach 1.3 Jet With and Without Plasma Actuators" [47th AIAA Aerospace Sciences Meeting including The New Horizons Forum and Aerospace Exposition] (2009, 38 cites) | "A High-Order, Overset-Mesh Algorithm for Adjoint-Based Optimization for Aeroacoustics Control" (2010, 21 cites)</t>
        </is>
      </c>
      <c r="N14" s="2" t="inlineStr">
        <is>
          <t>MAE 242: Intro to Fluid Mechanics | MAE 593: Applied Project | MAE 598: Special Topics</t>
        </is>
      </c>
      <c r="O14" s="2" t="inlineStr"/>
      <c r="P14" s="2" t="inlineStr"/>
      <c r="Q14" s="2" t="inlineStr">
        <is>
          <t>Aerodynamics and Acoustics in Jet Flows, Fluid Dynamics and Turbulent Flows, Computational Fluid Dynamics and Aerodynamics, Combustion and flame dynamics, Acoustic Wave Phenomena Research</t>
        </is>
      </c>
      <c r="R14" s="2" t="inlineStr"/>
      <c r="S14" s="2" t="inlineStr"/>
      <c r="T14" s="2" t="inlineStr">
        <is>
          <t>Kim's research interests include large-eddy simulation of high-speed turbulent flows with multi-physics, aeroacoustics, flow control and optimization.</t>
        </is>
      </c>
      <c r="U14" s="2" t="inlineStr">
        <is>
          <t>Ph.D. Theoretical and Applied Mechanics, University of Illinois at Urbana-Champaign | M.S. Mechanical and Aerospace Engineering, Seoul National University, South Korea | B.S. Mechanical and Aerospace Engineering, Seoul National University, South Korea</t>
        </is>
      </c>
      <c r="V14" s="2" t="inlineStr"/>
      <c r="W14" s="2" t="inlineStr"/>
      <c r="X14" s="2" t="inlineStr"/>
      <c r="Y14" s="2" t="inlineStr"/>
      <c r="Z14" s="2" t="inlineStr"/>
      <c r="AA14" s="2" t="inlineStr"/>
      <c r="AB14" s="2" t="inlineStr"/>
      <c r="AC14" s="2" t="inlineStr"/>
      <c r="AD14" s="2" t="inlineStr">
        <is>
          <t>Campus: Tempe</t>
        </is>
      </c>
      <c r="AE14" s="2" t="b">
        <v>1</v>
      </c>
      <c r="AF14" s="3">
        <f>HYPERLINK("https://faculty.engineering.asu.edu/directory/semte/aerospace-and-mechanical-engineering/", "https://faculty.engineering.asu.edu/directory/semte/aerospace-and-mechanical-engineering/")</f>
        <v/>
      </c>
    </row>
    <row r="15">
      <c r="A15" s="2" t="inlineStr">
        <is>
          <t>Matthew Peet</t>
        </is>
      </c>
      <c r="B15" s="2" t="inlineStr">
        <is>
          <t>Arizona State University</t>
        </is>
      </c>
      <c r="C15" s="3">
        <f>HYPERLINK("https://search.asu.edu/profile/mpeet", "https://search.asu.edu/profile/mpeet")</f>
        <v/>
      </c>
      <c r="D15" s="3">
        <f>HYPERLINK("https://scholar.google.com/citations?hl=en&amp;user=l7umOqMAAAAJ", "Scholar (l7umOqMAAAAJ)")</f>
        <v/>
      </c>
      <c r="E15" s="2" t="inlineStr">
        <is>
          <t>Associate Professor</t>
        </is>
      </c>
      <c r="F15" s="2" t="inlineStr">
        <is>
          <t>Aerospace &amp; Mechanical Engineering</t>
        </is>
      </c>
      <c r="G15" s="2" t="inlineStr">
        <is>
          <t>l7umOqMAAAAJ</t>
        </is>
      </c>
      <c r="H15" s="3">
        <f>HYPERLINK("mailto:mpeet@asu.edu", "mpeet@asu.edu")</f>
        <v/>
      </c>
      <c r="I15" s="2" t="n">
        <v>4</v>
      </c>
      <c r="J15" s="2" t="inlineStr">
        <is>
          <t>aerospace, materials, spacecraft, system dynamics</t>
        </is>
      </c>
      <c r="K15" s="2" t="inlineStr"/>
      <c r="L15" s="2" t="inlineStr">
        <is>
          <t>"Lyapunov Functions can Exactly Quantify Rate Performance of Nonlinear Differential Equations" [arXiv (Cornell University)] (2026) | "Lyapunov Functions can Exactly Quantify Rate Performance of Nonlinear Differential Equations" [arXiv (Cornell University)] (2026) | "Hierarchical Stability and Lyapunov Conditions for Linear PDEs" [IEEE Control Systems Letters] (2026)</t>
        </is>
      </c>
      <c r="M15" s="2" t="inlineStr">
        <is>
          <t>"Highly stretchable self-sensing actuator based on conductive photothermally-responsive hydrogel" [Materials Today] (2021, 221 cites) | "Positive Forms and Stability of Linear Time-Delay Systems" [SIAM Journal on Control and Optimization] (2009, 98 cites) | "Exponentially Stable Nonlinear Systems Have Polynomial Lyapunov Functions on Bounded Regions" [IEEE Transactions on Automatic Control] (2009, 76 cites)</t>
        </is>
      </c>
      <c r="N15" s="2" t="inlineStr">
        <is>
          <t>MAE 593: Applied Project | MAE 318: System Dynamics and Control I | MAE 509: LMI Methods</t>
        </is>
      </c>
      <c r="O15" s="2" t="inlineStr"/>
      <c r="P15" s="2" t="inlineStr"/>
      <c r="Q15" s="2" t="inlineStr">
        <is>
          <t>Stability and Control of Uncertain Systems, Stability and Controllability of Differential Equations, Control Systems and Identification, Numerical methods for differential equations, Advanced Optimization Algorithms Research</t>
        </is>
      </c>
      <c r="R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S15" s="2" t="inlineStr">
        <is>
          <t>Control Systems, Dynamical Systems Theory, Aerospace Engineering, Algorithm Development, Dynamical Systems, Nonlinear Dynamical Systems, Mathematical and System Dynamics Modeling, Immunology</t>
        </is>
      </c>
      <c r="T15" s="2" t="inlineStr">
        <is>
          <t>Peet's current research interests are in the role of computation as it is applied to the understanding and control of complex and large-scale systems.</t>
        </is>
      </c>
      <c r="U15" s="2" t="inlineStr">
        <is>
          <t>Ph.D. Aeronautics and Astronautics, Stanford University 2006 | Bachelor's degree. Physics, University of Texas-Austin 1999 | Bachelor's degree. Aerospace Engineering, University of Texas-Austin 1999</t>
        </is>
      </c>
      <c r="V15" s="2" t="inlineStr">
        <is>
          <t>Cybernetic Systems and Controls Laboratory (CSCL)</t>
        </is>
      </c>
      <c r="W15" s="3">
        <f>HYPERLINK("http://control.asu.edu/", "http://control.asu.edu/")</f>
        <v/>
      </c>
      <c r="X15" s="2" t="inlineStr"/>
      <c r="Y15" s="2" t="inlineStr"/>
      <c r="Z15" s="2" t="inlineStr"/>
      <c r="AA15" s="2" t="inlineStr"/>
      <c r="AB15" s="2" t="inlineStr"/>
      <c r="AC15" s="2" t="inlineStr"/>
      <c r="AD15" s="2" t="inlineStr">
        <is>
          <t>ENGRC 253 (Tempe, AZ 85287-6106)</t>
        </is>
      </c>
      <c r="AE15" s="2" t="b">
        <v>1</v>
      </c>
      <c r="AF15" s="3">
        <f>HYPERLINK("https://faculty.engineering.asu.edu/directory/semte/aerospace-and-mechanical-engineering/", "https://faculty.engineering.asu.edu/directory/semte/aerospace-and-mechanical-engineering/")</f>
        <v/>
      </c>
    </row>
    <row r="16">
      <c r="A16" s="2" t="inlineStr">
        <is>
          <t>Robert Wang</t>
        </is>
      </c>
      <c r="B16" s="2" t="inlineStr">
        <is>
          <t>Arizona State University</t>
        </is>
      </c>
      <c r="C16" s="3">
        <f>HYPERLINK("https://search.asu.edu/profile/rywang", "https://search.asu.edu/profile/rywang")</f>
        <v/>
      </c>
      <c r="D16" s="3">
        <f>HYPERLINK("https://scholar.google.com/citations?hl=en&amp;user=LaUdx9gAAAAJ", "Scholar (LaUdx9gAAAAJ)")</f>
        <v/>
      </c>
      <c r="E16" s="2" t="inlineStr">
        <is>
          <t>Associate Professor</t>
        </is>
      </c>
      <c r="F16" s="2" t="inlineStr">
        <is>
          <t>Aerospace &amp; Mechanical Engineering</t>
        </is>
      </c>
      <c r="G16" s="2" t="inlineStr">
        <is>
          <t>LaUdx9gAAAAJ</t>
        </is>
      </c>
      <c r="H16" s="3">
        <f>HYPERLINK("mailto:rywang@asu.edu", "rywang@asu.edu")</f>
        <v/>
      </c>
      <c r="I16" s="2" t="n">
        <v>4</v>
      </c>
      <c r="J16" s="2" t="inlineStr">
        <is>
          <t>composites, heat transfer, materials, thermal</t>
        </is>
      </c>
      <c r="K16" s="2" t="inlineStr"/>
      <c r="L16" s="2" t="inlineStr">
        <is>
          <t>"Thermal conductivity trends across cadmium sulfide nanoparticle sizes – from colloidal nanocrystals down to magic-sized clusters" [Chemical Physics] (2026) | "BACQ - Application-Oriented Benchmarks for Quantum Computing" [Communications in computer and information science] (2026) | "Thermal Radiative Properties of Tungsten-Doped Vanadium Dioxide Thin Films Fabricated in an Extremely Low-Oxygen Furnace Environment" [International Journal of Thermophysics] (2025)</t>
        </is>
      </c>
      <c r="M16" s="2" t="inlineStr">
        <is>
          <t>"Real-time hand-tracking with a color glove" [ACM Transactions on Graphics] (2009, 610 cites) | "Enhanced Thermopower in PbSe Nanocrystal Quantum Dot Superlattices" [Nano Letters] (2008, 257 cites) | "Oxide‐Mediated Formation of Chemically Stable Tungsten–Liquid Metal Mixtures for Enhanced Thermal Interfaces" [Advanced Materials] (2019, 192 cites)</t>
        </is>
      </c>
      <c r="N16" s="2" t="inlineStr">
        <is>
          <t>MAE 241: Intro to Thermodynamics | MAE 593: Applied Project | MAE 588: Nanoscale Heat Transfer</t>
        </is>
      </c>
      <c r="O16" s="2" t="inlineStr"/>
      <c r="P16" s="2" t="inlineStr"/>
      <c r="Q16" s="2" t="inlineStr">
        <is>
          <t>Thermal properties of materials, Quantum Dots Synthesis And Properties, Advanced Thermoelectric Materials and Devices, Chalcogenide Semiconductor Thin Films, Thermal Radiation and Cooling Technologies</t>
        </is>
      </c>
      <c r="R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S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T16" s="2" t="inlineStr">
        <is>
          <t>Wang's research interests include thermal energy conversion, storage, and transport in nanostructured materials; thermoelectric power generation; thermal storage media; heat transfer, and phonon optics</t>
        </is>
      </c>
      <c r="U16" s="2" t="inlineStr">
        <is>
          <t>Ph.D. Mechanical Engineering, University of California-Berkeley 2008 | M.S. Mechanical Engineering, University of California-Berkeley 2005 | B.S. Mechanical Engineering, University of California-Los Angeles 2003</t>
        </is>
      </c>
      <c r="V16" s="2" t="inlineStr"/>
      <c r="W16" s="3">
        <f>HYPERLINK("http://wang.faculty.asu.edu/", "http://wang.faculty.asu.edu/")</f>
        <v/>
      </c>
      <c r="X16" s="2" t="inlineStr"/>
      <c r="Y16" s="2" t="inlineStr"/>
      <c r="Z16" s="2" t="inlineStr"/>
      <c r="AA16" s="2" t="inlineStr"/>
      <c r="AB16" s="2" t="inlineStr"/>
      <c r="AC16" s="2" t="inlineStr"/>
      <c r="AD16" s="2" t="inlineStr">
        <is>
          <t>ENGRC 307 (Tempe, AZ 85287-6106)</t>
        </is>
      </c>
      <c r="AE16" s="2" t="b">
        <v>1</v>
      </c>
      <c r="AF16" s="3">
        <f>HYPERLINK("https://faculty.engineering.asu.edu/directory/semte/aerospace-and-mechanical-engineering/", "https://faculty.engineering.asu.edu/directory/semte/aerospace-and-mechanical-engineering/")</f>
        <v/>
      </c>
    </row>
    <row r="17">
      <c r="A17" s="2" t="inlineStr">
        <is>
          <t>Ryan Milcarek</t>
        </is>
      </c>
      <c r="B17" s="2" t="inlineStr">
        <is>
          <t>Arizona State University</t>
        </is>
      </c>
      <c r="C17" s="3">
        <f>HYPERLINK("https://search.asu.edu/profile/rjmilcar", "https://search.asu.edu/profile/rjmilcar")</f>
        <v/>
      </c>
      <c r="D17" s="3">
        <f>HYPERLINK("https://scholar.google.com/citations?hl=en&amp;user=m-Pb6g2pm2UC", "Scholar (m-Pb6g2pm2UC)")</f>
        <v/>
      </c>
      <c r="E17" s="2" t="inlineStr">
        <is>
          <t>Associate Professor</t>
        </is>
      </c>
      <c r="F17" s="2" t="inlineStr">
        <is>
          <t>Aerospace &amp; Mechanical Engineering</t>
        </is>
      </c>
      <c r="G17" s="2" t="inlineStr">
        <is>
          <t>m-Pb6g2pm2UC</t>
        </is>
      </c>
      <c r="H17" s="3">
        <f>HYPERLINK("mailto:Ryan.Milcarek@asu.edu", "Ryan.Milcarek@asu.edu")</f>
        <v/>
      </c>
      <c r="I17" s="2" t="n">
        <v>4</v>
      </c>
      <c r="J17" s="2" t="inlineStr">
        <is>
          <t>aerospace, combustion, energy systems, materials</t>
        </is>
      </c>
      <c r="K17" s="2" t="inlineStr">
        <is>
          <t>Micro-scale Thermal Partial Oxidation Reformer and Integrated Solid Oxide Fuel Cell Operating with Jet Fuel,</t>
        </is>
      </c>
      <c r="L17" s="2" t="inlineStr">
        <is>
          <t>"Multi-year assessment of energy storage capacity for a carbon-neutral grid in Arizona and the impact of wind energy integration" [Renewable Energy] (2026) | "Analysis of gas turbines with diffusion, premixed and rich-quench-lean combustor designs utilizing ternary CH4/H2/NH3 fuel blends" [Energy Conversion and Management] (2026) | "Micro-scale thermal partial oxidation reformer and integrated solid oxide fuel cell operating with jet fuel" [Journal of Power Sources] (2026)</t>
        </is>
      </c>
      <c r="M17" s="2" t="inlineStr">
        <is>
          <t>"A review of energy storage technologies for demand-side management in industrial facilities" [Journal of Cleaner Production] (2021, 100 cites) | "Techno-Economic Assessment of CHP Systems in Wastewater Treatment Plants" [Environments] (2020, 78 cites) | "Thermodynamic and emission analysis of a hydrogen/methane fueled gas turbine" [Energy Conversion and Management X] (2023, 50 cites)</t>
        </is>
      </c>
      <c r="N17" s="2" t="inlineStr">
        <is>
          <t>MAE 593: Applied Project | MAE 436: Combustion | MAE 536: Combustion</t>
        </is>
      </c>
      <c r="O17" s="2" t="inlineStr">
        <is>
          <t>Outstanding Faculty Mentor, Fulton Schools of Engineering, For the Fulton Forge Student Research programs, 2026 | 1st Place, Student Paper Competition, 2025 ASME IMECE Power Symposium, 2025</t>
        </is>
      </c>
      <c r="P17" s="2" t="inlineStr"/>
      <c r="Q17" s="2" t="inlineStr">
        <is>
          <t>Advancements in Solid Oxide Fuel Cells, Fuel Cells and Related Materials, Catalytic Processes in Materials Science, Electrocatalysts for Energy Conversion, Catalysis and Oxidation Reactions</t>
        </is>
      </c>
      <c r="R17" s="2" t="inlineStr">
        <is>
          <t>Energy management and efficiency, energy transition, energy storage, solid oxide fuel cells, partial oxidation, cogeneration, combustion, and synthesis of hydrogen</t>
        </is>
      </c>
      <c r="S17" s="2" t="inlineStr">
        <is>
          <t>Ceramics, Electrochemistry, Energy, Energy and Sustainability, Energy Conservation, Energy Economics, Energy Efficiency Technologies, Thin Film Materials</t>
        </is>
      </c>
      <c r="T17" s="2" t="inlineStr">
        <is>
          <t>Milcarek's current research focuses on energy management and efficiency, energy system modeling, energy transition, energy storage, solid oxide fuel cells fabrication and testing, partial oxidation and synthesis of hydrogen.</t>
        </is>
      </c>
      <c r="U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V17" s="2" t="inlineStr"/>
      <c r="W17" s="3">
        <f>HYPERLINK("http://RESEARCHGATE.net/profile/Ryan_Milcarek", "http://RESEARCHGATE.net/profile/Ryan_Milcarek")</f>
        <v/>
      </c>
      <c r="X17" s="2" t="inlineStr"/>
      <c r="Y17" s="2" t="inlineStr"/>
      <c r="Z17" s="2" t="inlineStr"/>
      <c r="AA17" s="2" t="inlineStr"/>
      <c r="AB17" s="2" t="inlineStr"/>
      <c r="AC17" s="2" t="inlineStr"/>
      <c r="AD17" s="2" t="inlineStr">
        <is>
          <t>ENGRC 465 (Tempe, AZ 85287)</t>
        </is>
      </c>
      <c r="AE17" s="2" t="b">
        <v>1</v>
      </c>
      <c r="AF17" s="3">
        <f>HYPERLINK("https://faculty.engineering.asu.edu/directory/semte/aerospace-and-mechanical-engineering/", "https://faculty.engineering.asu.edu/directory/semte/aerospace-and-mechanical-engineering/")</f>
        <v/>
      </c>
    </row>
    <row r="18">
      <c r="A18" s="2" t="inlineStr">
        <is>
          <t>T.-W. Lee</t>
        </is>
      </c>
      <c r="B18" s="2" t="inlineStr">
        <is>
          <t>Arizona State University</t>
        </is>
      </c>
      <c r="C18" s="3">
        <f>HYPERLINK("https://search.asu.edu/profile/attwl", "https://search.asu.edu/profile/attwl")</f>
        <v/>
      </c>
      <c r="D18" s="3">
        <f>HYPERLINK("https://scholar.google.com/citations?view_op=search_authors&amp;mauthors=T.-W.%20Lee%20Arizona%20State%20University", "Google Scholar Search")</f>
        <v/>
      </c>
      <c r="E18" s="2" t="inlineStr">
        <is>
          <t>Associate Professor</t>
        </is>
      </c>
      <c r="F18" s="2" t="inlineStr">
        <is>
          <t>Aerospace &amp; Mechanical Engineering</t>
        </is>
      </c>
      <c r="G18" s="2" t="inlineStr"/>
      <c r="H18" s="3">
        <f>HYPERLINK("mailto:ATTWL@asu.edu", "ATTWL@asu.edu")</f>
        <v/>
      </c>
      <c r="I18" s="2" t="n">
        <v>4</v>
      </c>
      <c r="J18" s="2" t="inlineStr">
        <is>
          <t>aerospace, energy systems, propulsion, thermal</t>
        </is>
      </c>
      <c r="K18" s="2" t="inlineStr">
        <is>
          <t>N Hegde, Taewoo Lee. Laser-induced breakdown spectroscopy for in situ diagnostics of combustion parameters including tem</t>
        </is>
      </c>
      <c r="L18" s="2" t="inlineStr"/>
      <c r="M18" s="2" t="inlineStr"/>
      <c r="N18" s="2" t="inlineStr">
        <is>
          <t>MAE 565: Rocket Propulsion | MAE 593: Applied Project | MAE 570: Intermediate Thermodynamics</t>
        </is>
      </c>
      <c r="O18" s="2" t="inlineStr"/>
      <c r="P18" s="2" t="inlineStr"/>
      <c r="Q18" s="2" t="inlineStr"/>
      <c r="R18" s="2" t="inlineStr"/>
      <c r="S18" s="2" t="inlineStr"/>
      <c r="T18" s="2" t="inlineStr">
        <is>
          <t>Lee's areas of expertise include energy system analysis, thermal and fluid process characterization, and fuel property measurements for energy systems.</t>
        </is>
      </c>
      <c r="U18" s="2" t="inlineStr">
        <is>
          <t>Ph.D. Aerospace Engineering, University of Michigan-Ann Arbor | M.S.E. Aerospace Engineering, University of Michigan-Ann Arbor | B.S. Aeronautical and Astronautical Engineering, The Ohio State University-Columbus</t>
        </is>
      </c>
      <c r="V18" s="2" t="inlineStr"/>
      <c r="W18" s="2" t="inlineStr"/>
      <c r="X18" s="2" t="inlineStr"/>
      <c r="Y18" s="2" t="inlineStr"/>
      <c r="Z18" s="2" t="inlineStr"/>
      <c r="AA18" s="2" t="inlineStr"/>
      <c r="AB18" s="2" t="inlineStr"/>
      <c r="AC18" s="2" t="inlineStr"/>
      <c r="AD18" s="2" t="inlineStr">
        <is>
          <t>ENGRC 377 (TEMPE, AZ 85287-6106)</t>
        </is>
      </c>
      <c r="AE18" s="2" t="b">
        <v>1</v>
      </c>
      <c r="AF18" s="3">
        <f>HYPERLINK("https://faculty.engineering.asu.edu/directory/semte/aerospace-and-mechanical-engineering/", "https://faculty.engineering.asu.edu/directory/semte/aerospace-and-mechanical-engineering/")</f>
        <v/>
      </c>
    </row>
    <row r="19">
      <c r="A19" s="2" t="inlineStr">
        <is>
          <t>Tianyu Yang</t>
        </is>
      </c>
      <c r="B19" s="2" t="inlineStr">
        <is>
          <t>Arizona State University</t>
        </is>
      </c>
      <c r="C19" s="3">
        <f>HYPERLINK("https://search.asu.edu/profile/tyang123", "https://search.asu.edu/profile/tyang123")</f>
        <v/>
      </c>
      <c r="D19" s="3">
        <f>HYPERLINK("https://scholar.google.com/citations?hl=en&amp;user=OmBV67MAAAAJ", "Scholar (OmBV67MAAAAJ)")</f>
        <v/>
      </c>
      <c r="E19" s="2" t="inlineStr">
        <is>
          <t>Assistant Professor</t>
        </is>
      </c>
      <c r="F19" s="2" t="inlineStr">
        <is>
          <t>Aerospace &amp; Mechanical Engineering</t>
        </is>
      </c>
      <c r="G19" s="2" t="inlineStr">
        <is>
          <t>OmBV67MAAAAJ</t>
        </is>
      </c>
      <c r="H19" s="3">
        <f>HYPERLINK("mailto:Tianyu.Yang@asu.edu", "Tianyu.Yang@asu.edu")</f>
        <v/>
      </c>
      <c r="I19" s="2" t="n">
        <v>4</v>
      </c>
      <c r="J19" s="2" t="inlineStr">
        <is>
          <t>autonomous, heat transfer, materials, thermal</t>
        </is>
      </c>
      <c r="K19" s="2" t="inlineStr"/>
      <c r="L19" s="2" t="inlineStr">
        <is>
          <t>"Micro‐explosions caused by the reaction of nano‐sized aluminium and polyvinylidene fluoride to promote the micron‐sized aluminium combustion and inhibit its agglomeration" [The Canadian Journal of Chemical Engineering] (2025) | "Canadian Spine SocietyAbstract ID 19. Program Code CPSS01. Pediatric Spine Frailty Index predicts morbidity and mortality in spinal deformity surgeryAbstract ID 99. Program Code CPSS02. Evaluation of biplane radiographic systems for scoliotic patientsAbstract ID 180. Program Code CPSS03. Rate of spinal osteochondromas diagnosed via advanced imaging in pediatric patients with hereditary multiple osteochondromas: a systematic review and meta-analysisAbstract ID 137. Program Code CPSS04. The impact of adverse childhood experiences on fibromyalgia: a systematic review and meta-analysis of case–control studiesAbstract ID 61. Program Code CPSS05. Enhanced recovery pathway for patients with adolescent idiopathic scoliosis undergoing posterior spinal instrumentation and fusion surgery: a matched controlled analysisAbstract ID 193. Program Code CPSS06. Integrated approach to back pain in the adolescent populationAbstract ID 38. Program Code CPSS07. Traumatic spinal cord injury in children and adolescents: a 20-year review from the Hospital for Sick ChildrenAbstract ID 93. Program Code CPSS08. Prevalence and prognosis of scapular pain following surgical treatment of adolescent idiopathic scoliosis: a prospective study to guide preoperative counsellingAbstract ID 150. Program Code CPSS09. Preoperative zoledronate is safe for children with medical complexity undergoing posterior spinal fusion for neuromuscular scoliosisAbstract ID 15. Program Code CPSS10. Allogeneic transfusion is associated with adverse events in idiopathic scoliosis surgeryAbstract ID 56. Program Code A11. Defining the gaps in transitional care to adulthood for patients in pediatric surgical specialties: a scoping reviewAbstract ID 81. Program Code A12. Effect of mixing dissimilar metals on serum metal ion levels following spinal deformity surgeryAbstract ID 184. Program Code A13. Intraoperative neuromonitoring has poor correlation with postoperative neurological deficits in non-cord level adult deformity surgeryAbstract ID 94. Program Code A14. Role of somatosensory evoked potential (SSEP) in enhancing intraoperative neuromonitoring for spinal deformity surgery — results from a prospective multicentre studyAbstract ID 9. Program Code A15. Does fat matter? The association between extension of fusion and paraspinal muscle fat infiltrationAbstract ID 47. Program Code A16. Pelvic incidence to lumbar lordosis association varies by Roussouly morphotypeAbstract ID 102. Program Code A17. Association between rod and fusion mass fractures in adult spinal deformity: a retrospective cohort studyAbstract ID 8. Program Code A18. Design and implementation of a novel morselized bone interbody cage in posterior lumbar spinal fusion: a biomechanical studyAbstract ID 86. Program Code A19. Decompression versus decompression plus fusion for stable degenerative lumbar spondylolisthesis: comparing outcomes using propensity score–matched dataAbstract ID 176. Program Code A20. Reoperation rates for decompression and fusion versus decompression alone for degenerative spondylolisthesis: a comparative analysisAbstract ID 186. Program Code B21. Modic change is not associated with occult discitis or poor clinical outcome among patients treated surgically for lumbar disc herniation: prospective cohort studyAbstract ID 145. Program Code B22. Machine learning–driven clinical and imaging clustering of degenerative lumbar spondylolisthesis: implications for stratified surgical careAbstract ID 68. Program Code B23. Which psychosocial measures are most strongly related to surgical outcomes in patients with degenerative pathology of the spine?Abstract ID 111. Program Code B24. Acceptance and commitment therapy for patients with degenerative spinal disorders and maladaptive psychological processes: an observational studyAbstract ID 128. Program Code B25. Assessing construct validity of the Spine Adverse Events Severity System: impact of adverse event severity grade on longitudinal patient-reported outcomes)Abstract ID 72. Program Code B26. A pilot randomized controlled trial comparing traditional midline versus paramedian approaches to the lumbar spine for elective posterior/transforaminal lumbar interbody fusion proceduresAbstract ID 96. Program Code B27. Uniportal versus biportal endoscopic decompression for the treatment of lumbar spinal stenosis: a systematic review and updated meta-analysisAbstract ID 152. Program Code B28. Why business tools are essential for managing a spine programAbstract ID 172. Program Code B29. Relationship between fatty infiltration, frailty, and outcomes after spinal surgeryAbstract ID 143. Program Code C30. Clinical trajectory and outcomes with surgical intervention for traumatic central cord syndrome: impact of mechanism of injuryAbstract ID 13. Program Code C31. Optimal tracheostomy timing following traumatic complete spinal cord injury: a comparative analysis of ultra-early, early and delayed practiceAbstract ID 123. Program Code C32. Early stabilizatio" [Canadian Journal of Surgery] (2025) | "Enhanced Thermoelectric Performance of GeTe Materials via Compositing Fe 3 O 4 Nanoparticles" [ACS Applied Materials &amp; Interfaces] (2025)</t>
        </is>
      </c>
      <c r="M19" s="2" t="inlineStr">
        <is>
          <t>"A facile soft-template synthesis of mesoporous polymeric and carbonaceous nanospheres" [Nature Communications] (2013, 1593 cites) | "Lattice plainification advances highly effective SnSe crystalline thermoelectrics" [Science] (2023, 474 cites) | "Yolk–Shell Hybrid Materials with a Periodic Mesoporous Organosilica Shell: Ideal Nanoreactors for Selective Alcohol Oxidation" [Advanced Functional Materials] (2011, 362 cites)</t>
        </is>
      </c>
      <c r="N19" s="2" t="inlineStr">
        <is>
          <t>MAE 241: Intro to Thermodynamics</t>
        </is>
      </c>
      <c r="O19" s="2" t="inlineStr"/>
      <c r="P19" s="2" t="inlineStr"/>
      <c r="Q19" s="2" t="inlineStr">
        <is>
          <t>Advanced Thermoelectric Materials and Devices, Catalytic Processes in Materials Science, Electrocatalysts for Energy Conversion, Chalcogenide Semiconductor Thin Films, Topological Materials and Phenomena</t>
        </is>
      </c>
      <c r="R19" s="2" t="inlineStr"/>
      <c r="S19" s="2" t="inlineStr"/>
      <c r="T19" s="2" t="inlineStr">
        <is>
          <t>Yang studies heat transfer, thermal management of electronics, and biomedical devices. She has published multiple research papers in major scientific journals.</t>
        </is>
      </c>
      <c r="U19" s="2" t="inlineStr">
        <is>
          <t>PhD. University of Illinois at Urbana Champaign, 2016-2021 | BS. Tsinghua University, China 2012-2016</t>
        </is>
      </c>
      <c r="V19" s="2" t="inlineStr"/>
      <c r="W19" s="2" t="inlineStr"/>
      <c r="X19" s="2" t="inlineStr"/>
      <c r="Y19" s="2" t="inlineStr"/>
      <c r="Z19" s="2" t="inlineStr"/>
      <c r="AA19" s="2" t="inlineStr"/>
      <c r="AB19" s="2" t="inlineStr"/>
      <c r="AC19" s="2" t="inlineStr"/>
      <c r="AD19" s="2" t="inlineStr">
        <is>
          <t>Campus: Tempe</t>
        </is>
      </c>
      <c r="AE19" s="2" t="b">
        <v>1</v>
      </c>
      <c r="AF19" s="3">
        <f>HYPERLINK("https://faculty.engineering.asu.edu/directory/semte/aerospace-and-mechanical-engineering/", "https://faculty.engineering.asu.edu/directory/semte/aerospace-and-mechanical-engineering/")</f>
        <v/>
      </c>
    </row>
    <row r="20">
      <c r="A20" s="2" t="inlineStr">
        <is>
          <t>Aditi Chattopadhyay</t>
        </is>
      </c>
      <c r="B20" s="2" t="inlineStr">
        <is>
          <t>Arizona State University</t>
        </is>
      </c>
      <c r="C20" s="3">
        <f>HYPERLINK("https://search.asu.edu/profile/chattopa", "https://search.asu.edu/profile/chattopa")</f>
        <v/>
      </c>
      <c r="D20" s="3">
        <f>HYPERLINK("https://scholar.google.com/citations?hl=en&amp;user=w3fU9E0AAAAJ", "Scholar (w3fU9E0AAAAJ)")</f>
        <v/>
      </c>
      <c r="E20" s="2" t="inlineStr">
        <is>
          <t>Regents Professor</t>
        </is>
      </c>
      <c r="F20" s="2" t="inlineStr">
        <is>
          <t>Aerospace &amp; Mechanical Engineering</t>
        </is>
      </c>
      <c r="G20" s="2" t="inlineStr">
        <is>
          <t>w3fU9E0AAAAJ</t>
        </is>
      </c>
      <c r="H20" s="3">
        <f>HYPERLINK("mailto:aditi@asu.edu", "aditi@asu.edu")</f>
        <v/>
      </c>
      <c r="I20" s="2" t="n">
        <v>3</v>
      </c>
      <c r="J20" s="2" t="inlineStr">
        <is>
          <t>aerospace, materials, structural health monitoring</t>
        </is>
      </c>
      <c r="K20" s="2" t="inlineStr"/>
      <c r="L20" s="2" t="inlineStr">
        <is>
          <t>"Early Damage Detection in Cinnamoyl‐Functionalized Shape Memory Epoxy Through Mechanochemical Activation" [Journal of Polymer Science] (2026) | "Microstructural Descriptors-Aware Diffusion-Based model for stochastic reconstruction of composite microstructures" [Composite Structures] (2026) | "In Situ Scanning Electron Microscopy Investigation of Flexural and Interlaminar Failure Mechanisms in Carbon Nanotube‐Reinforced Shape Memory Polymer Composites" [Polymer Composites] (2026)</t>
        </is>
      </c>
      <c r="M20" s="2" t="inlineStr">
        <is>
          <t>"Automated fatigue damage detection and classification technique for composite structures using Lamb waves and deep autoencoder" [Mechanical Systems and Signal Processing] (2021, 141 cites) | "New higher order plate theory in modeling delamination buckling of composite laminates" [AIAA Journal] (1994, 120 cites) | "Real-time anomaly detection framework using a support vector regression for the safety monitoring of commercial aircraft" [Advanced Engineering Informatics] (2020, 112 cites)</t>
        </is>
      </c>
      <c r="N20" s="2" t="inlineStr">
        <is>
          <t>MAE 557: Mechanics Composite Materials | MAE 494: Special Topics | MAE 521: Structural Optimization</t>
        </is>
      </c>
      <c r="O20" s="2" t="inlineStr"/>
      <c r="P20" s="2" t="inlineStr"/>
      <c r="Q20" s="2" t="inlineStr">
        <is>
          <t>Structural Health Monitoring Techniques, Composite Structure Analysis and Optimization, Ultrasonics and Acoustic Wave Propagation, Mechanical Behavior of Composites, Aeroelasticity and Vibration Control</t>
        </is>
      </c>
      <c r="R20" s="2" t="inlineStr"/>
      <c r="S20" s="2" t="inlineStr"/>
      <c r="T20" s="2" t="inlineStr">
        <is>
          <t>Chattopadhyay is the director of Adaptive Intelligent Materials and Systems (AIMS) Center at ASU. Her research focuses on structural health monitoring and damage prognosis, and multidisciplinary design optimization.</t>
        </is>
      </c>
      <c r="U20" s="2" t="inlineStr">
        <is>
          <t>Ph. D. Aerospace Engineering, Georgia Institute of Technology | M.S. Aerospace Engineering, Georgia Institute of Technology | B. Tech. Aeronautical Engineering (Honors), Indian Institute of Technology, Kharagpur, India 1980</t>
        </is>
      </c>
      <c r="V20" s="2" t="inlineStr">
        <is>
          <t>Adaptive Intelligent Materials &amp; Systems (AIMS) Center</t>
        </is>
      </c>
      <c r="W20" s="2" t="inlineStr"/>
      <c r="X20" s="2" t="inlineStr"/>
      <c r="Y20" s="2" t="inlineStr"/>
      <c r="Z20" s="2" t="inlineStr"/>
      <c r="AA20" s="2" t="inlineStr"/>
      <c r="AB20" s="2" t="inlineStr"/>
      <c r="AC20" s="2" t="inlineStr"/>
      <c r="AD20" s="2" t="inlineStr">
        <is>
          <t>ENGRC 427 (TEMPE, AZ 85287-6106)</t>
        </is>
      </c>
      <c r="AE20" s="2" t="b">
        <v>1</v>
      </c>
      <c r="AF20" s="3">
        <f>HYPERLINK("https://faculty.engineering.asu.edu/directory/semte/aerospace-and-mechanical-engineering/", "https://faculty.engineering.asu.edu/directory/semte/aerospace-and-mechanical-engineering/")</f>
        <v/>
      </c>
    </row>
    <row r="21">
      <c r="A21" s="2" t="inlineStr">
        <is>
          <t>Alberto Scotti</t>
        </is>
      </c>
      <c r="B21" s="2" t="inlineStr">
        <is>
          <t>Arizona State University</t>
        </is>
      </c>
      <c r="C21" s="3">
        <f>HYPERLINK("https://search.asu.edu/profile/adscotti", "https://search.asu.edu/profile/adscotti")</f>
        <v/>
      </c>
      <c r="D21" s="3">
        <f>HYPERLINK("https://scholar.google.com/citations?hl=en&amp;user=HRx2lJQAAAAJ", "Scholar (HRx2lJQAAAAJ)")</f>
        <v/>
      </c>
      <c r="E21" s="2" t="inlineStr">
        <is>
          <t>Professor</t>
        </is>
      </c>
      <c r="F21" s="2" t="inlineStr">
        <is>
          <t>Aerospace &amp; Mechanical Engineering</t>
        </is>
      </c>
      <c r="G21" s="2" t="inlineStr">
        <is>
          <t>HRx2lJQAAAAJ</t>
        </is>
      </c>
      <c r="H21" s="3">
        <f>HYPERLINK("mailto:Alberto.Scotti@asu.edu", "Alberto.Scotti@asu.edu")</f>
        <v/>
      </c>
      <c r="I21" s="2" t="n">
        <v>3</v>
      </c>
      <c r="J21" s="2" t="inlineStr">
        <is>
          <t>fluid mechanics, fluids, turbulent</t>
        </is>
      </c>
      <c r="K21" s="2" t="inlineStr"/>
      <c r="L21" s="2" t="inlineStr">
        <is>
          <t>"A Versatile Laboratory Approach to Reproduce and Analyze Internal Ocean Wave Dynamics" [arXiv (Cornell University)] (2026) | "A Versatile Laboratory Approach to Reproduce and Analyze Internal Ocean Wave Dynamics" [arXiv (Cornell University)] (2026) | "Lagrangian geometry of flows" [Physical Review Fluids] (2026)</t>
        </is>
      </c>
      <c r="M21" s="2" t="inlineStr">
        <is>
          <t>"The formation and fate of internal waves in the South China Sea" [Nature] (2015, 739 cites) | "Generalized Smagorinsky model for anisotropic grids" [Physics of Fluids A Fluid Dynamics] (1993, 282 cites) | "Numerical simulation of pulsating turbulent channel flow" [Physics of Fluids] (2001, 211 cites)</t>
        </is>
      </c>
      <c r="N21" s="2" t="inlineStr">
        <is>
          <t>MAE 501: Linear Algebra in Engineering | MAE 215: Intro to Programming in MATLAB | MAE 202: Mech.Particles/Rigid Bodies II</t>
        </is>
      </c>
      <c r="O21" s="2" t="inlineStr"/>
      <c r="P21" s="2" t="inlineStr"/>
      <c r="Q21" s="2" t="inlineStr">
        <is>
          <t>Oceanographic and Atmospheric Processes, Fluid Dynamics and Turbulent Flows, Meteorological Phenomena and Simulations, Ocean Waves and Remote Sensing, Climate variability and models</t>
        </is>
      </c>
      <c r="R21" s="2" t="inlineStr">
        <is>
          <t>Modeling and Simulation, Oceanography, Earth Systems and Climate Science, Modeling, Modeling, Simulation and Cyberinfrastructure, Applied Mathematics</t>
        </is>
      </c>
      <c r="S21" s="2" t="inlineStr">
        <is>
          <t>Modeling and Simulation, Oceanography, Earth Systems and Climate Science, Modeling, Modeling, Simulation and Cyberinfrastructure, Applied Mathematics</t>
        </is>
      </c>
      <c r="T21" s="2" t="inlineStr">
        <is>
          <t>Scotti's main focus is theoretical, experimental and computational aspects of environmental fluid mechanics.</t>
        </is>
      </c>
      <c r="U21" s="2" t="inlineStr">
        <is>
          <t>PhD Johns Hopkins University</t>
        </is>
      </c>
      <c r="V21" s="2" t="inlineStr"/>
      <c r="W21" s="2" t="inlineStr"/>
      <c r="X21" s="2" t="inlineStr"/>
      <c r="Y21" s="2" t="inlineStr"/>
      <c r="Z21" s="2" t="inlineStr"/>
      <c r="AA21" s="2" t="inlineStr"/>
      <c r="AB21" s="2" t="inlineStr"/>
      <c r="AC21" s="2" t="inlineStr"/>
      <c r="AD21" s="2" t="inlineStr">
        <is>
          <t>Campus: Tempe</t>
        </is>
      </c>
      <c r="AE21" s="2" t="b">
        <v>1</v>
      </c>
      <c r="AF21" s="3">
        <f>HYPERLINK("https://faculty.engineering.asu.edu/directory/semte/aerospace-and-mechanical-engineering/", "https://faculty.engineering.asu.edu/directory/semte/aerospace-and-mechanical-engineering/")</f>
        <v/>
      </c>
    </row>
    <row r="22">
      <c r="A22" s="2" t="inlineStr">
        <is>
          <t>Beomjin Kwon</t>
        </is>
      </c>
      <c r="B22" s="2" t="inlineStr">
        <is>
          <t>Arizona State University</t>
        </is>
      </c>
      <c r="C22" s="3">
        <f>HYPERLINK("https://search.asu.edu/profile/bkwon2", "https://search.asu.edu/profile/bkwon2")</f>
        <v/>
      </c>
      <c r="D22" s="3">
        <f>HYPERLINK("https://scholar.google.com/citations?hl=en&amp;user=fs2d97sAAAAJ", "Scholar (fs2d97sAAAAJ)")</f>
        <v/>
      </c>
      <c r="E22" s="2" t="inlineStr">
        <is>
          <t>Associate Professor</t>
        </is>
      </c>
      <c r="F22" s="2" t="inlineStr">
        <is>
          <t>Aerospace &amp; Mechanical Engineering</t>
        </is>
      </c>
      <c r="G22" s="2" t="inlineStr">
        <is>
          <t>fs2d97sAAAAJ</t>
        </is>
      </c>
      <c r="H22" s="3">
        <f>HYPERLINK("mailto:kwon@asu.edu", "kwon@asu.edu")</f>
        <v/>
      </c>
      <c r="I22" s="2" t="n">
        <v>3</v>
      </c>
      <c r="J22" s="2" t="inlineStr">
        <is>
          <t>aerospace, energy systems, heat transfer</t>
        </is>
      </c>
      <c r="K22" s="2" t="inlineStr">
        <is>
          <t>Journal Papers 62. N. Ohashi, J. Deng, L.K. Hwang, P.K. Kang, and B. Kwon, “Physics-Informed Machine Learning for Reconstructin...</t>
        </is>
      </c>
      <c r="L22" s="2" t="inlineStr">
        <is>
          <t>"Physics-informed machine learning for reconstructing three-dimensional velocity fields from two-dimensional concentration fields" [Physics of Fluids] (2026) | "Statistically Equivalent Representative Volume Element Modeling of Carbon Nanotube–Copper Composite Fibers Based on Cross-Sectional Microstructures" [Journal of Engineering Materials and Technology] (2026) | "Physics-informed neural networks with domain decomposition for inferring velocity fields from concentration fields" [AI Thermal Fluids] (2026)</t>
        </is>
      </c>
      <c r="M22" s="2" t="inlineStr">
        <is>
          <t>"3D printing of shape-conformable thermoelectric materials using all-inorganic Bi2Te3-based inks" [Nature Energy] (2018, 353 cites) | "Machine learning for heat transfer correlations" [International Communications in Heat and Mass Transfer] (2020, 182 cites) | "High-performance shape-engineerable thermoelectric painting" [Nature Communications] (2016, 173 cites)</t>
        </is>
      </c>
      <c r="N22" s="2" t="inlineStr">
        <is>
          <t>MAE 593: Applied Project | MAE 241: Intro to Thermodynamics | MAE 598: Special Topics</t>
        </is>
      </c>
      <c r="O22" s="2" t="inlineStr"/>
      <c r="P22" s="2" t="inlineStr"/>
      <c r="Q22" s="2" t="inlineStr">
        <is>
          <t>Advanced Thermoelectric Materials and Devices, Heat Transfer and Optimization, Thermal properties of materials, Thermal Radiation and Cooling Technologies, Heat Transfer Mechanisms</t>
        </is>
      </c>
      <c r="R22" s="2" t="inlineStr">
        <is>
          <t>Transport phenomena in heat transfer systems Additive manufacturing Data-driven modeling and design</t>
        </is>
      </c>
      <c r="S22" s="2" t="inlineStr"/>
      <c r="T22" s="2" t="inlineStr">
        <is>
          <t>Kwon aims to improve the energy conversion and transport systems through the fundamental insights into transport physics, and by exploiting additive manufacturing and data-driven approaches.</t>
        </is>
      </c>
      <c r="U22" s="2" t="inlineStr">
        <is>
          <t>Ph.D. Mechanical Engineering, University of Illinois at Urbana-Champaign 2013 | M.S. Mechanical Engineering, University of Illinois at Urbana-Champaign 2009 | B.S. Mechanical and Aerospace Engineering, Seoul National University 2008</t>
        </is>
      </c>
      <c r="V22" s="2" t="inlineStr">
        <is>
          <t>3D Energy Lab</t>
        </is>
      </c>
      <c r="W22" s="3">
        <f>HYPERLINK("http://sites.google.com/view/3denergy", "http://sites.google.com/view/3denergy")</f>
        <v/>
      </c>
      <c r="X22" s="2" t="inlineStr"/>
      <c r="Y22" s="2" t="inlineStr"/>
      <c r="Z22" s="2" t="inlineStr">
        <is>
          <t>3D Printer</t>
        </is>
      </c>
      <c r="AA22" s="2" t="inlineStr">
        <is>
          <t>NSF</t>
        </is>
      </c>
      <c r="AB22" s="2" t="inlineStr"/>
      <c r="AC22" s="2" t="inlineStr">
        <is>
          <t>3D Energy Device Laboratory</t>
        </is>
      </c>
      <c r="AD22" s="2" t="inlineStr">
        <is>
          <t>551 E Tyler Mall ERC 363 (Tempe, AZ 85281)</t>
        </is>
      </c>
      <c r="AE22" s="2" t="b">
        <v>1</v>
      </c>
      <c r="AF22" s="3">
        <f>HYPERLINK("https://faculty.engineering.asu.edu/directory/semte/aerospace-and-mechanical-engineering/", "https://faculty.engineering.asu.edu/directory/semte/aerospace-and-mechanical-engineering/")</f>
        <v/>
      </c>
    </row>
    <row r="23">
      <c r="A23" s="2" t="inlineStr">
        <is>
          <t>Hamidreza Marvi</t>
        </is>
      </c>
      <c r="B23" s="2" t="inlineStr">
        <is>
          <t>Arizona State University</t>
        </is>
      </c>
      <c r="C23" s="3">
        <f>HYPERLINK("https://search.asu.edu/profile/hmarvi", "https://search.asu.edu/profile/hmarvi")</f>
        <v/>
      </c>
      <c r="D23" s="3">
        <f>HYPERLINK("https://scholar.google.com/citations?hl=en&amp;user=00Fepb0AAAAJ", "Scholar (00Fepb0AAAAJ)")</f>
        <v/>
      </c>
      <c r="E23" s="2" t="inlineStr">
        <is>
          <t>Associate Professor</t>
        </is>
      </c>
      <c r="F23" s="2" t="inlineStr">
        <is>
          <t>Aerospace &amp; Mechanical Engineering</t>
        </is>
      </c>
      <c r="G23" s="2" t="inlineStr">
        <is>
          <t>00Fepb0AAAAJ</t>
        </is>
      </c>
      <c r="H23" s="3">
        <f>HYPERLINK("mailto:hmarvi@asu.edu", "hmarvi@asu.edu")</f>
        <v/>
      </c>
      <c r="I23" s="2" t="n">
        <v>3</v>
      </c>
      <c r="J23" s="2" t="inlineStr">
        <is>
          <t>aerospace, robot, robotics</t>
        </is>
      </c>
      <c r="K23" s="2" t="inlineStr">
        <is>
          <t>Shape-programmable magnetic soft matter,</t>
        </is>
      </c>
      <c r="L23" s="2" t="inlineStr"/>
      <c r="M23" s="2" t="inlineStr"/>
      <c r="N23" s="2" t="inlineStr">
        <is>
          <t>MAE 417: System Dynamics and Control II | MAE 598: Special Topics | MAE 547: Modeling and Control of Robots</t>
        </is>
      </c>
      <c r="O23" s="2" t="inlineStr">
        <is>
          <t>KEEN Professorship, The Kern Family Foundation, 2017. | Peebles Award for Graduate Student Research in Adhesion Science, Adhesion Society, 2015.</t>
        </is>
      </c>
      <c r="P23" s="2" t="inlineStr"/>
      <c r="Q23" s="2" t="inlineStr"/>
      <c r="R23" s="2" t="inlineStr">
        <is>
          <t>Bio-inspired robotics Soft robotics Magnetic micro-robotics Mechanics of animal locomotion</t>
        </is>
      </c>
      <c r="S23" s="2" t="inlineStr"/>
      <c r="T23" s="2" t="inlineStr">
        <is>
          <t>Marvi would like to develop bio-inspired robotic systems and programmable interfacial structures for search and rescue, exploratory and medical applications.</t>
        </is>
      </c>
      <c r="U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V23" s="2" t="inlineStr">
        <is>
          <t>Bio-Inspired Robotics, Technology, and Healthcare Laboratory (BIRTH Lab)</t>
        </is>
      </c>
      <c r="W23" s="3">
        <f>HYPERLINK("http://birth.asu.edu", "http://birth.asu.edu")</f>
        <v/>
      </c>
      <c r="X23" s="2" t="inlineStr"/>
      <c r="Y23" s="2" t="inlineStr"/>
      <c r="Z23" s="2" t="inlineStr"/>
      <c r="AA23" s="2" t="inlineStr"/>
      <c r="AB23" s="2" t="inlineStr"/>
      <c r="AC23" s="2" t="inlineStr"/>
      <c r="AD23" s="2" t="inlineStr">
        <is>
          <t>Campus: Tempe</t>
        </is>
      </c>
      <c r="AE23" s="2" t="b">
        <v>1</v>
      </c>
      <c r="AF23" s="3">
        <f>HYPERLINK("https://faculty.engineering.asu.edu/directory/semte/aerospace-and-mechanical-engineering/", "https://faculty.engineering.asu.edu/directory/semte/aerospace-and-mechanical-engineering/")</f>
        <v/>
      </c>
    </row>
    <row r="24">
      <c r="A24" s="2" t="inlineStr">
        <is>
          <t>Hyunglae Lee</t>
        </is>
      </c>
      <c r="B24" s="2" t="inlineStr">
        <is>
          <t>Arizona State University</t>
        </is>
      </c>
      <c r="C24" s="3">
        <f>HYPERLINK("https://search.asu.edu/profile/hlee234", "https://search.asu.edu/profile/hlee234")</f>
        <v/>
      </c>
      <c r="D24" s="3">
        <f>HYPERLINK("https://scholar.google.com/citations?view_op=search_authors&amp;mauthors=Hyunglae%20Lee%20Arizona%20State%20University", "Google Scholar Search")</f>
        <v/>
      </c>
      <c r="E24" s="2" t="inlineStr">
        <is>
          <t>Associate Professor</t>
        </is>
      </c>
      <c r="F24" s="2" t="inlineStr">
        <is>
          <t>Aerospace &amp; Mechanical Engineering</t>
        </is>
      </c>
      <c r="G24" s="2" t="inlineStr"/>
      <c r="H24" s="3">
        <f>HYPERLINK("mailto:Hyunglae.Lee@asu.edu", "Hyunglae.Lee@asu.edu")</f>
        <v/>
      </c>
      <c r="I24" s="2" t="n">
        <v>3</v>
      </c>
      <c r="J24" s="2" t="inlineStr">
        <is>
          <t>aerospace, robot, robotics</t>
        </is>
      </c>
      <c r="K24" s="2" t="inlineStr"/>
      <c r="L24" s="2" t="inlineStr">
        <is>
          <t>"Geometric Feature Relationship-Based Knowledge Distillation for Ground Reaction Force Estimation" [Measurement] (2026) | "Consistency and robustness of virtual time-to-contact in assessing postural sway in people with multiple sclerosis" [Gait &amp; Posture] (2026) | "Understanding the Relationship Between Cutaneous Sensation, Balance, and Falls in People With Multiple Sclerosis" [Neurology Report] (2026)</t>
        </is>
      </c>
      <c r="M24" s="2" t="inlineStr">
        <is>
          <t>"Time-Varying Ankle Mechanical Impedance During Human Locomotion" [IEEE Transactions on Neural Systems and Rehabilitation Engineering] (2014, 169 cites) | "Summary of Human Ankle Mechanical Impedance During Walking" [IEEE Journal of Translational Engineering in Health and Medicine] (2016, 156 cites) | "Multivariable Dynamic Ankle Mechanical Impedance With Active Muscles" [IEEE Transactions on Neural Systems and Rehabilitation Engineering] (2014, 109 cites)</t>
        </is>
      </c>
      <c r="N24" s="2" t="inlineStr">
        <is>
          <t>MAE 598: Special Topics | MAE 417: System Dynamics and Control II | MAE 593: Applied Project</t>
        </is>
      </c>
      <c r="O24" s="2" t="inlineStr"/>
      <c r="P24" s="2" t="inlineStr"/>
      <c r="Q24" s="2" t="inlineStr">
        <is>
          <t>Muscle activation and electromyography studies, Prosthetics and Rehabilitation Robotics, Balance, Gait, and Falls Prevention, Motor Control and Adaptation, Stroke Rehabilitation and Recovery</t>
        </is>
      </c>
      <c r="R24" s="2" t="inlineStr"/>
      <c r="S24" s="2" t="inlineStr"/>
      <c r="T24" s="2" t="inlineStr">
        <is>
          <t>Lee's research interests include physical human-robot interaction, neuromuscular control of human movement, robot-aided neurorehabilitation, bio-inspired robotics and system identification for physiological systems.</t>
        </is>
      </c>
      <c r="U24" s="2" t="inlineStr">
        <is>
          <t>B.S. Mechanical and Aerospace Engineering, Seoul National University (2002) M.S. Mechanical and Aerospace Engineering, Seoul National University (2004) Ph.D Mechanical Engineering, Massachusetts Institute of Technology (2013)</t>
        </is>
      </c>
      <c r="V24" s="2" t="inlineStr"/>
      <c r="W24" s="3">
        <f>HYPERLINK("https://faculty.engineering.asu.edu/hlee", "https://faculty.engineering.asu.edu/hlee")</f>
        <v/>
      </c>
      <c r="X24" s="2" t="inlineStr"/>
      <c r="Y24" s="2" t="inlineStr"/>
      <c r="Z24" s="2" t="inlineStr"/>
      <c r="AA24" s="2" t="inlineStr"/>
      <c r="AB24" s="2" t="inlineStr"/>
      <c r="AC24" s="2" t="inlineStr"/>
      <c r="AD24" s="2" t="inlineStr">
        <is>
          <t>Campus: Tempe</t>
        </is>
      </c>
      <c r="AE24" s="2" t="b">
        <v>1</v>
      </c>
      <c r="AF24" s="3">
        <f>HYPERLINK("https://faculty.engineering.asu.edu/directory/semte/aerospace-and-mechanical-engineering/", "https://faculty.engineering.asu.edu/directory/semte/aerospace-and-mechanical-engineering/")</f>
        <v/>
      </c>
    </row>
    <row r="25">
      <c r="A25" s="2" t="inlineStr">
        <is>
          <t>Leila Ladani</t>
        </is>
      </c>
      <c r="B25" s="2" t="inlineStr">
        <is>
          <t>Arizona State University</t>
        </is>
      </c>
      <c r="C25" s="3">
        <f>HYPERLINK("https://search.asu.edu/profile/ljannesa", "https://search.asu.edu/profile/ljannesa")</f>
        <v/>
      </c>
      <c r="D25" s="3">
        <f>HYPERLINK("https://scholar.google.com/citations?view_op=search_authors&amp;mauthors=Leila%20Ladani%20Arizona%20State%20University", "Google Scholar Search")</f>
        <v/>
      </c>
      <c r="E25" s="2" t="inlineStr">
        <is>
          <t>Professor</t>
        </is>
      </c>
      <c r="F25" s="2" t="inlineStr">
        <is>
          <t>Aerospace &amp; Mechanical Engineering</t>
        </is>
      </c>
      <c r="G25" s="2" t="inlineStr"/>
      <c r="H25" s="3">
        <f>HYPERLINK("mailto:ladani@asu.edu", "ladani@asu.edu")</f>
        <v/>
      </c>
      <c r="I25" s="2" t="n">
        <v>3</v>
      </c>
      <c r="J25" s="2" t="inlineStr">
        <is>
          <t>aerospace, materials, solid mechanics</t>
        </is>
      </c>
      <c r="K25" s="2" t="inlineStr"/>
      <c r="L25" s="2" t="inlineStr">
        <is>
          <t>"Theoretical Analysis of the Process Window for Laser Powder-Bed Fusion for Infrared and Green Lasers Using Rosenthal Approximation" [Materials] (2026) | "Evaluation of Solid-State Diffusion Bonded Inconel 718 Mechanical Properties" [Journal of Innovations in Materials and Manufacturing Engineering] (2026) | "Optimization of Fused Deposition Modeling (FDM) Process for Small-Scale PEEK Medical Devices" [Journal of Manufacturing and Materials Processing] (2025)</t>
        </is>
      </c>
      <c r="M25" s="2" t="inlineStr">
        <is>
          <t>"Review of Powder Bed Fusion Additive Manufacturing for Metals" [Metals] (2021, 182 cites) | "Optimizing quality of additively manufactured Inconel 718 using powder bed laser melting process" [Additive manufacturing] (2016, 150 cites) | "Towards developing multiscale-multiphysics models and their surrogates for digital twins of metal additive manufacturing" [Additive manufacturing] (2021, 143 cites)</t>
        </is>
      </c>
      <c r="N25" s="2" t="inlineStr">
        <is>
          <t>MAE 598: Special Topics | MAE 494: Special Topics | MAE 201: Mech. Particles/Rigid Bodies I</t>
        </is>
      </c>
      <c r="O25" s="2" t="inlineStr"/>
      <c r="P25" s="2" t="inlineStr"/>
      <c r="Q25" s="2" t="inlineStr">
        <is>
          <t>Electronic Packaging and Soldering Technologies, Additive Manufacturing and 3D Printing Technologies, Additive Manufacturing Materials and Processes, Aluminum Alloys Composites Properties, Microstructure and mechanical properties</t>
        </is>
      </c>
      <c r="R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S25" s="2" t="inlineStr">
        <is>
          <t>Additive Manufacturing, Manufacturing Engineering</t>
        </is>
      </c>
      <c r="T25" s="2" t="inlineStr">
        <is>
          <t>Dr. Ladani is a Professor of Mechanical and Aerospace Engineering at Arizona State University.</t>
        </is>
      </c>
      <c r="U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V25" s="2" t="inlineStr">
        <is>
          <t>Manufacturing and Advanced Materials Characterization (MAGIC) Lab</t>
        </is>
      </c>
      <c r="W25" s="3">
        <f>HYPERLINK("https://magic.asu.edu/", "https://magic.asu.edu/")</f>
        <v/>
      </c>
      <c r="X25" s="2" t="inlineStr"/>
      <c r="Y25" s="2" t="inlineStr"/>
      <c r="Z25" s="2" t="inlineStr"/>
      <c r="AA25" s="2" t="inlineStr"/>
      <c r="AB25" s="2" t="inlineStr"/>
      <c r="AC25" s="2" t="inlineStr"/>
      <c r="AD25" s="2" t="inlineStr">
        <is>
          <t>ISTB4, ROOM 379 781 S Terrace Rd (Tempe, AZ 85287)</t>
        </is>
      </c>
      <c r="AE25" s="2" t="b">
        <v>1</v>
      </c>
      <c r="AF25" s="3">
        <f>HYPERLINK("https://faculty.engineering.asu.edu/directory/semte/aerospace-and-mechanical-engineering/", "https://faculty.engineering.asu.edu/directory/semte/aerospace-and-mechanical-engineering/")</f>
        <v/>
      </c>
    </row>
    <row r="26">
      <c r="A26" s="2" t="inlineStr">
        <is>
          <t>Patrick Phelan</t>
        </is>
      </c>
      <c r="B26" s="2" t="inlineStr">
        <is>
          <t>Arizona State University</t>
        </is>
      </c>
      <c r="C26" s="3">
        <f>HYPERLINK("https://search.asu.edu/profile/pphelan", "https://search.asu.edu/profile/pphelan")</f>
        <v/>
      </c>
      <c r="D26" s="3">
        <f>HYPERLINK("https://scholar.google.com/citations?view_op=search_authors&amp;mauthors=Patrick%20Phelan%20Arizona%20State%20University", "Google Scholar Search")</f>
        <v/>
      </c>
      <c r="E26" s="2" t="inlineStr">
        <is>
          <t>Professor</t>
        </is>
      </c>
      <c r="F26" s="2" t="inlineStr">
        <is>
          <t>Aerospace &amp; Mechanical Engineering</t>
        </is>
      </c>
      <c r="G26" s="2" t="inlineStr"/>
      <c r="H26" s="3">
        <f>HYPERLINK("mailto:phelan@asu.edu", "phelan@asu.edu")</f>
        <v/>
      </c>
      <c r="I26" s="2" t="n">
        <v>3</v>
      </c>
      <c r="J26" s="2" t="inlineStr">
        <is>
          <t>aerospace, energy systems, thermal</t>
        </is>
      </c>
      <c r="K26" s="2" t="inlineStr">
        <is>
          <t>Please see my publications at Google Scholar .</t>
        </is>
      </c>
      <c r="L26" s="2" t="inlineStr">
        <is>
          <t>"Dynamic Energy Simulation for a Tiny House Targeting a Net Zero-Energy Building" [Journal of Innovative Science and Engineering (JISE)] (2026) | "Heat Transfer Enhancement with Low-Concentration CuO/Water Nanofluid and Ultrasonic Energy: An Experimental Study" [International Journal of Thermophysics] (2025) | "Performance enhancement of photovoltaic panels using rotating elliptic enclosures filled with phase change material" [Numerical Heat Transfer Part A Applications] (2025)</t>
        </is>
      </c>
      <c r="M26" s="2" t="inlineStr">
        <is>
          <t>"Recent developments in phase change materials for energy storage applications: A review" [International Journal of Heat and Mass Transfer] (2018, 1518 cites) | "Thermal Conductivity of Nanoscale Colloidal Solutions (Nanofluids)" [Physical Review Letters] (2005, 921 cites) | "Nanofluid-based direct absorption solar collector" [Journal of Renewable and Sustainable Energy] (2010, 879 cites)</t>
        </is>
      </c>
      <c r="N26" s="2" t="inlineStr">
        <is>
          <t>MAE 593: Applied Project | MAE 494: Special Topics | MAE 598: Special Topics</t>
        </is>
      </c>
      <c r="O26" s="2" t="inlineStr"/>
      <c r="P26" s="2" t="inlineStr"/>
      <c r="Q26" s="2" t="inlineStr">
        <is>
          <t>Heat Transfer and Optimization, Solar Thermal and Photovoltaic Systems, Nanofluid Flow and Heat Transfer, Solar-Powered Water Purification Methods, Thermal properties of materials</t>
        </is>
      </c>
      <c r="R26" s="2" t="inlineStr">
        <is>
          <t>Thermal engineering, sustainable energy systems, energy management, sustainable cooling systems.</t>
        </is>
      </c>
      <c r="S26" s="2" t="inlineStr">
        <is>
          <t>Building Technology, Solar Energy Systems, Energy Efficiency Technologies, Mechanical Engineering</t>
        </is>
      </c>
      <c r="T26" s="2" t="inlineStr">
        <is>
          <t>Phelan researches and teaches in the area of sustainable energy, thermal transport and thermal management.</t>
        </is>
      </c>
      <c r="U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V26" s="2" t="inlineStr"/>
      <c r="W26" s="2" t="inlineStr"/>
      <c r="X26" s="2" t="inlineStr"/>
      <c r="Y26" s="2" t="inlineStr"/>
      <c r="Z26" s="2" t="inlineStr"/>
      <c r="AA26" s="2" t="inlineStr"/>
      <c r="AB26" s="2" t="inlineStr"/>
      <c r="AC26" s="2" t="inlineStr"/>
      <c r="AD26" s="2" t="inlineStr">
        <is>
          <t>ENGRC 463 (TEMPE, AZ 85287-6106)</t>
        </is>
      </c>
      <c r="AE26" s="2" t="b">
        <v>1</v>
      </c>
      <c r="AF26" s="3">
        <f>HYPERLINK("https://faculty.engineering.asu.edu/directory/semte/aerospace-and-mechanical-engineering/", "https://faculty.engineering.asu.edu/directory/semte/aerospace-and-mechanical-engineering/")</f>
        <v/>
      </c>
    </row>
    <row r="27">
      <c r="A27" s="2" t="inlineStr">
        <is>
          <t>Yulia Peet</t>
        </is>
      </c>
      <c r="B27" s="2" t="inlineStr">
        <is>
          <t>Arizona State University</t>
        </is>
      </c>
      <c r="C27" s="3">
        <f>HYPERLINK("https://search.asu.edu/profile/ypeet", "https://search.asu.edu/profile/ypeet")</f>
        <v/>
      </c>
      <c r="D27" s="3">
        <f>HYPERLINK("https://scholar.google.com/citations?hl=en&amp;user=_6o8MrUAAAAJ", "Scholar (_6o8MrUAAAAJ)")</f>
        <v/>
      </c>
      <c r="E27" s="2" t="inlineStr">
        <is>
          <t>Professor</t>
        </is>
      </c>
      <c r="F27" s="2" t="inlineStr">
        <is>
          <t>Aerospace &amp; Mechanical Engineering</t>
        </is>
      </c>
      <c r="G27" s="2" t="inlineStr">
        <is>
          <t>_6o8MrUAAAAJ</t>
        </is>
      </c>
      <c r="H27" s="3">
        <f>HYPERLINK("mailto:ypeet@asu.edu", "ypeet@asu.edu")</f>
        <v/>
      </c>
      <c r="I27" s="2" t="n">
        <v>3</v>
      </c>
      <c r="J27" s="2" t="inlineStr">
        <is>
          <t>aerospace, fluid mechanics, turbulence</t>
        </is>
      </c>
      <c r="K27" s="2" t="inlineStr"/>
      <c r="L27" s="2" t="inlineStr">
        <is>
          <t>"Correction: Using Streamwise and Spanwise Shear Stress Components in Wall-Sensing Drag Reduction Control of Turbulent Channel Flow" (2026) | "Using Streamwise and Spanwise Shear Stress Components in Wall-Sensing Drag Reduction Control of Turbulent Channel Flow" (2026) | "Inflectional Instability of Linearized Incompressible Euler Equations via Linear Partial Inequality Tests" (2025)</t>
        </is>
      </c>
      <c r="M27" s="2" t="inlineStr">
        <is>
          <t>"Theoretical prediction of turbulent skin friction on geometrically complex surfaces" [Physics of Fluids] (2009, 78 cites) | "Turbulent Drag Reduction Using Sinusoidal Riblets With Triangular Cross-Section" [38th Fluid Dynamics Conference and Exhibit] (2008, 56 cites) | "Pressure loss reduction in hydrogen pipelines by surface restructuring" [International Journal of Hydrogen Energy] (2009, 46 cites)</t>
        </is>
      </c>
      <c r="N27" s="2" t="inlineStr">
        <is>
          <t>MAE 215: Intro to Programming in MATLAB | MAE 591: Seminar | MAE 593: Applied Project</t>
        </is>
      </c>
      <c r="O27" s="2" t="inlineStr"/>
      <c r="P27" s="2" t="inlineStr"/>
      <c r="Q27" s="2" t="inlineStr">
        <is>
          <t>Fluid Dynamics and Turbulent Flows, Fluid Dynamics and Vibration Analysis, Wind and Air Flow Studies, Computational Fluid Dynamics and Aerodynamics, Wind Energy Research and Development</t>
        </is>
      </c>
      <c r="R27" s="2" t="inlineStr"/>
      <c r="S27" s="2" t="inlineStr"/>
      <c r="T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U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V27" s="2" t="inlineStr">
        <is>
          <t>Interdisciplinary Simulation and Modeling (ISiM) Lab</t>
        </is>
      </c>
      <c r="W27" s="3">
        <f>HYPERLINK("https://isim.asu.edu", "https://isim.asu.edu")</f>
        <v/>
      </c>
      <c r="X27" s="2" t="inlineStr"/>
      <c r="Y27" s="2" t="inlineStr"/>
      <c r="Z27" s="2" t="inlineStr"/>
      <c r="AA27" s="2" t="inlineStr"/>
      <c r="AB27" s="2" t="inlineStr"/>
      <c r="AC27" s="2" t="inlineStr"/>
      <c r="AD27" s="2" t="inlineStr">
        <is>
          <t>ENGRC 379 (Tempe, AZ 85287-6106)</t>
        </is>
      </c>
      <c r="AE27" s="2" t="b">
        <v>1</v>
      </c>
      <c r="AF27" s="3">
        <f>HYPERLINK("https://faculty.engineering.asu.edu/directory/semte/aerospace-and-mechanical-engineering/", "https://faculty.engineering.asu.edu/directory/semte/aerospace-and-mechanical-engineering/")</f>
        <v/>
      </c>
    </row>
    <row r="28">
      <c r="A28" s="2" t="inlineStr">
        <is>
          <t>Houlong Zhuang</t>
        </is>
      </c>
      <c r="B28" s="2" t="inlineStr">
        <is>
          <t>Arizona State University</t>
        </is>
      </c>
      <c r="C28" s="3">
        <f>HYPERLINK("https://search.asu.edu/profile/hzhuang7", "https://search.asu.edu/profile/hzhuang7")</f>
        <v/>
      </c>
      <c r="D28" s="3">
        <f>HYPERLINK("https://scholar.google.com/citations?hl=en&amp;user=4yYKCpUAAAAJ", "Scholar (4yYKCpUAAAAJ)")</f>
        <v/>
      </c>
      <c r="E28" s="2" t="inlineStr">
        <is>
          <t>Associate Professor</t>
        </is>
      </c>
      <c r="F28" s="2" t="inlineStr">
        <is>
          <t>Aerospace &amp; Mechanical Engineering</t>
        </is>
      </c>
      <c r="G28" s="2" t="inlineStr">
        <is>
          <t>4yYKCpUAAAAJ</t>
        </is>
      </c>
      <c r="H28" s="3">
        <f>HYPERLINK("mailto:zhuanghl@asu.edu", "zhuanghl@asu.edu")</f>
        <v/>
      </c>
      <c r="I28" s="2" t="n">
        <v>2</v>
      </c>
      <c r="J28" s="2" t="inlineStr">
        <is>
          <t>aerospace, materials</t>
        </is>
      </c>
      <c r="K28" s="2" t="inlineStr"/>
      <c r="L28" s="2" t="inlineStr">
        <is>
          <t>"Large Language Model Assisted Discovery of Optimal Dopants for Enhanced Thermoelectric Performance in CoSb$_3$ Based Skutterudites" [arXiv (Cornell University)] (2026) | "Large Language Model Assisted Discovery of Optimal Dopants for Enhanced Thermoelectric Performance in CoSb$_3$ Based Skutterudites" [arXiv (Cornell University)] (2026) | "AI and 3D printing help researchers create heat- and pressure-resistant materials for aerospace and defense applications" (2026)</t>
        </is>
      </c>
      <c r="M28" s="2" t="inlineStr">
        <is>
          <t>"Prediction and Characterization of MXene Nanosheet Anodes for Non-Lithium-Ion Batteries" [ACS Nano] (2014, 1046 cites) | "Single-Layer Group-III Monochalcogenide Photocatalysts for Water Splitting" [Chemistry of Materials] (2013, 852 cites) | "Computational Screening of 2D Materials for Photocatalysis" [The Journal of Physical Chemistry Letters] (2015, 833 cites)</t>
        </is>
      </c>
      <c r="N28" s="2" t="inlineStr">
        <is>
          <t>MAE 551: Appl Machine Learn Mech Engr | MAE 451: Appl Machine Learn Mech Engr | MAE 202: Mech.Particles/Rigid Bodies II</t>
        </is>
      </c>
      <c r="O28" s="2" t="inlineStr"/>
      <c r="P28" s="2" t="inlineStr"/>
      <c r="Q28" s="2" t="inlineStr">
        <is>
          <t>2D Materials and Applications, Graphene research and applications, MXene and MAX Phase Materials, Advancements in Battery Materials, Advanced Battery Materials and Technologies</t>
        </is>
      </c>
      <c r="R28" s="2" t="inlineStr">
        <is>
          <t>Quantum simulations Machine learning Quantum computing</t>
        </is>
      </c>
      <c r="S28" s="2" t="inlineStr">
        <is>
          <t>Artificial Photosynthesis, Chemistry, Computational Physics, Machine Learning, Materials Science, Metals, Nanoscience, Semiconductors</t>
        </is>
      </c>
      <c r="T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U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V28" s="2" t="inlineStr">
        <is>
          <t>Computational Materials Science and Design Lab</t>
        </is>
      </c>
      <c r="W28" s="2" t="inlineStr"/>
      <c r="X28" s="2" t="inlineStr"/>
      <c r="Y28" s="2" t="inlineStr"/>
      <c r="Z28" s="2" t="inlineStr"/>
      <c r="AA28" s="2" t="inlineStr"/>
      <c r="AB28" s="2" t="inlineStr"/>
      <c r="AC28" s="2" t="inlineStr"/>
      <c r="AD28" s="2" t="inlineStr">
        <is>
          <t>Campus: Tempe</t>
        </is>
      </c>
      <c r="AE28" s="2" t="b">
        <v>1</v>
      </c>
      <c r="AF28" s="3">
        <f>HYPERLINK("https://faculty.engineering.asu.edu/directory/semte/aerospace-and-mechanical-engineering/", "https://faculty.engineering.asu.edu/directory/semte/aerospace-and-mechanical-engineering/")</f>
        <v/>
      </c>
    </row>
    <row r="29">
      <c r="A29" s="2" t="inlineStr">
        <is>
          <t>Huei-Ping Huang</t>
        </is>
      </c>
      <c r="B29" s="2" t="inlineStr">
        <is>
          <t>Arizona State University</t>
        </is>
      </c>
      <c r="C29" s="3">
        <f>HYPERLINK("https://search.asu.edu/profile/hhuang38", "https://search.asu.edu/profile/hhuang38")</f>
        <v/>
      </c>
      <c r="D29" s="3">
        <f>HYPERLINK("https://scholar.google.com/citations?view_op=search_authors&amp;mauthors=Huei-Ping%20Huang%20Arizona%20State%20University", "Google Scholar Search")</f>
        <v/>
      </c>
      <c r="E29" s="2" t="inlineStr">
        <is>
          <t>Associate Professor</t>
        </is>
      </c>
      <c r="F29" s="2" t="inlineStr">
        <is>
          <t>Aerospace &amp; Mechanical Engineering</t>
        </is>
      </c>
      <c r="G29" s="2" t="inlineStr"/>
      <c r="H29" s="3">
        <f>HYPERLINK("mailto:Huei-Ping.Huang@asu.edu", "Huei-Ping.Huang@asu.edu")</f>
        <v/>
      </c>
      <c r="I29" s="2" t="n">
        <v>2</v>
      </c>
      <c r="J29" s="2" t="inlineStr">
        <is>
          <t>aerospace, fluid dynamics</t>
        </is>
      </c>
      <c r="K29" s="2" t="inlineStr"/>
      <c r="L29" s="2" t="inlineStr">
        <is>
          <t>"Analysis of severe droughts in Taiwan using vegetation indices from geostationary satellite observations" [Research Square] (2025) | "The Effect of Bifurcated Geometry on the Diodicity of Tesla Valves" [Fluids] (2024)</t>
        </is>
      </c>
      <c r="M29" s="2" t="inlineStr">
        <is>
          <t>"Model Projections of an Imminent Transition to a More Arid Climate in Southwestern North America" [Science] (2007, 2108 cites) | "Changes in storm tracks and energy transports in a warmer climate simulated by the GFDL CM2.1 model" [Climate Dynamics] (2010, 147 cites) | "Two-Dimensional Turbulence and Persistent Zonal Jets in a Global Barotropic Model" [Journal of the Atmospheric Sciences] (1998, 145 cites)</t>
        </is>
      </c>
      <c r="N29" s="2" t="inlineStr">
        <is>
          <t>MAE 502: Partial Diff Equations Engr | MAE 460: Applied Comput Fluid Dynamics | MAE 593: Applied Project</t>
        </is>
      </c>
      <c r="O29" s="2" t="inlineStr"/>
      <c r="P29" s="2" t="inlineStr"/>
      <c r="Q29" s="2" t="inlineStr">
        <is>
          <t>Climate variability and models, Meteorological Phenomena and Simulations, Oceanographic and Atmospheric Processes, Atmospheric and Environmental Gas Dynamics, Geophysics and Gravity Measurements</t>
        </is>
      </c>
      <c r="R29" s="2" t="inlineStr"/>
      <c r="S29" s="2" t="inlineStr"/>
      <c r="T29" s="2" t="inlineStr">
        <is>
          <t>Huang's research interests are geophysical and environmental fluid dynamics, numerical simulation of atmospheric and oceanic flows, Earth system remote sensing, and climate change.</t>
        </is>
      </c>
      <c r="U29" s="2" t="inlineStr">
        <is>
          <t>Ph.D. University of Illinois-Urbana-Champaign 1997 | M.S. National Taiwan University 1989 | B.S. National Central University,Taiwan 1987</t>
        </is>
      </c>
      <c r="V29" s="2" t="inlineStr"/>
      <c r="W29" s="3">
        <f>HYPERLINK("http://www.public.asu.edu/~hhuang38", "http://www.public.asu.edu/~hhuang38")</f>
        <v/>
      </c>
      <c r="X29" s="2" t="inlineStr"/>
      <c r="Y29" s="2" t="inlineStr"/>
      <c r="Z29" s="2" t="inlineStr"/>
      <c r="AA29" s="2" t="inlineStr"/>
      <c r="AB29" s="2" t="inlineStr"/>
      <c r="AC29" s="2" t="inlineStr">
        <is>
          <t>Log in to www_public</t>
        </is>
      </c>
      <c r="AD29" s="2" t="inlineStr">
        <is>
          <t>ENGRC 359 (Tempe, AZ 85287-6106)</t>
        </is>
      </c>
      <c r="AE29" s="2" t="b">
        <v>1</v>
      </c>
      <c r="AF29" s="3">
        <f>HYPERLINK("https://faculty.engineering.asu.edu/directory/semte/aerospace-and-mechanical-engineering/", "https://faculty.engineering.asu.edu/directory/semte/aerospace-and-mechanical-engineering/")</f>
        <v/>
      </c>
    </row>
    <row r="30">
      <c r="A30" s="2" t="inlineStr">
        <is>
          <t>Jagannathan Rajagopalan</t>
        </is>
      </c>
      <c r="B30" s="2" t="inlineStr">
        <is>
          <t>Arizona State University</t>
        </is>
      </c>
      <c r="C30" s="3">
        <f>HYPERLINK("https://search.asu.edu/profile/jrajago1", "https://search.asu.edu/profile/jrajago1")</f>
        <v/>
      </c>
      <c r="D30" s="3">
        <f>HYPERLINK("https://scholar.google.com/citations?hl=en&amp;user=ClqRIhIAAAAJ", "Scholar (ClqRIhIAAAAJ)")</f>
        <v/>
      </c>
      <c r="E30" s="2" t="inlineStr">
        <is>
          <t>Associate Professor</t>
        </is>
      </c>
      <c r="F30" s="2" t="inlineStr">
        <is>
          <t>Aerospace &amp; Mechanical Engineering</t>
        </is>
      </c>
      <c r="G30" s="2" t="inlineStr">
        <is>
          <t>ClqRIhIAAAAJ</t>
        </is>
      </c>
      <c r="H30" s="3">
        <f>HYPERLINK("mailto:Jagannathan.Rajagopalan@asu.edu", "Jagannathan.Rajagopalan@asu.edu")</f>
        <v/>
      </c>
      <c r="I30" s="2" t="n">
        <v>2</v>
      </c>
      <c r="J30" s="2" t="inlineStr">
        <is>
          <t>aerospace, materials</t>
        </is>
      </c>
      <c r="K30" s="2" t="inlineStr"/>
      <c r="L30" s="2" t="inlineStr"/>
      <c r="M30" s="2" t="inlineStr"/>
      <c r="N30" s="2" t="inlineStr">
        <is>
          <t>MAE 593: Applied Project | MAE 519: Mechanics of Micro/Nano System | MAE 213: Mechanics of Materials</t>
        </is>
      </c>
      <c r="O30" s="2" t="inlineStr">
        <is>
          <t>2017 Best poster award at the TMS Annual Meeting. 2015 NSF CAREER award. 2010 Keynote presentation, U.S. National Congre</t>
        </is>
      </c>
      <c r="P30" s="2" t="inlineStr"/>
      <c r="Q30" s="2" t="inlineStr">
        <is>
          <t>Microstructure and mechanical properties, Metal and Thin Film Mechanics, Aluminum Alloys Composites Properties, Force Microscopy Techniques and Applications, Cellular Mechanics and Interactions</t>
        </is>
      </c>
      <c r="R30" s="2" t="inlineStr">
        <is>
          <t>Synthesis of nanocrystalline materials with tailored microstructures, Mechanics of nanostructured metal and alloy films, MEMS for in situ materials testing, Polymer based micro devices for cell mechanics and biohybrid platforms</t>
        </is>
      </c>
      <c r="S30" s="2" t="inlineStr">
        <is>
          <t>Thin Film Materials, Materials Science, Mechanical Engineering</t>
        </is>
      </c>
      <c r="T30" s="2" t="inlineStr">
        <is>
          <t>Rajagopalan's research focuses on the mechanics of nanoscale materials, cells and biological systems.</t>
        </is>
      </c>
      <c r="U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V30" s="2" t="inlineStr">
        <is>
          <t>Nanomechanics Laboratory</t>
        </is>
      </c>
      <c r="W30" s="3">
        <f>HYPERLINK("http://faculty.engineering.asu.edu/jagan/", "http://faculty.engineering.asu.edu/jagan/")</f>
        <v/>
      </c>
      <c r="X30" s="2" t="inlineStr"/>
      <c r="Y30" s="2" t="inlineStr"/>
      <c r="Z30" s="2" t="inlineStr"/>
      <c r="AA30" s="2" t="inlineStr"/>
      <c r="AB30" s="2" t="inlineStr"/>
      <c r="AC30" s="2" t="inlineStr">
        <is>
          <t>Nanostructured Materials</t>
        </is>
      </c>
      <c r="AD30" s="2" t="inlineStr">
        <is>
          <t>ENGRC 355 (Tempe, AZ 85287-6106)</t>
        </is>
      </c>
      <c r="AE30" s="2" t="b">
        <v>1</v>
      </c>
      <c r="AF30" s="3">
        <f>HYPERLINK("https://faculty.engineering.asu.edu/directory/semte/aerospace-and-mechanical-engineering/", "https://faculty.engineering.asu.edu/directory/semte/aerospace-and-mechanical-engineering/")</f>
        <v/>
      </c>
    </row>
    <row r="31">
      <c r="A31" s="2" t="inlineStr">
        <is>
          <t>Konrad Rykaczewski</t>
        </is>
      </c>
      <c r="B31" s="2" t="inlineStr">
        <is>
          <t>Arizona State University</t>
        </is>
      </c>
      <c r="C31" s="3">
        <f>HYPERLINK("https://search.asu.edu/profile/krykacze", "https://search.asu.edu/profile/krykacze")</f>
        <v/>
      </c>
      <c r="D31" s="3">
        <f>HYPERLINK("https://scholar.google.com/citations?hl=en&amp;user=SWeAf4UAAAAJ", "Scholar (SWeAf4UAAAAJ)")</f>
        <v/>
      </c>
      <c r="E31" s="2" t="inlineStr">
        <is>
          <t>Associate Professor</t>
        </is>
      </c>
      <c r="F31" s="2" t="inlineStr">
        <is>
          <t>Aerospace &amp; Mechanical Engineering</t>
        </is>
      </c>
      <c r="G31" s="2" t="inlineStr">
        <is>
          <t>SWeAf4UAAAAJ</t>
        </is>
      </c>
      <c r="H31" s="3">
        <f>HYPERLINK("mailto:konradr@asu.edu", "konradr@asu.edu")</f>
        <v/>
      </c>
      <c r="I31" s="2" t="n">
        <v>2</v>
      </c>
      <c r="J31" s="2" t="inlineStr">
        <is>
          <t>materials, thermal</t>
        </is>
      </c>
      <c r="K31" s="2" t="inlineStr"/>
      <c r="L31" s="2" t="inlineStr"/>
      <c r="M31" s="2" t="inlineStr"/>
      <c r="N31" s="2" t="inlineStr">
        <is>
          <t>MAE 593: Applied Project | MAE 499: Individualized Instruction | MAE 586: Advanced Heat Transfer</t>
        </is>
      </c>
      <c r="O31" s="2" t="inlineStr"/>
      <c r="P31" s="2" t="inlineStr"/>
      <c r="Q31" s="2" t="inlineStr"/>
      <c r="R31" s="2" t="inlineStr"/>
      <c r="S31" s="2" t="inlineStr"/>
      <c r="T31" s="2" t="inlineStr">
        <is>
          <t>Rykaczewski's research focuses on development of soft thermal materials and system as well as studying human thermal exposure in extreme heat.</t>
        </is>
      </c>
      <c r="U31" s="2" t="inlineStr">
        <is>
          <t>Ph.D. Mechanical Engineering, Georgia Institute of Technology 2009 | M.S. Mechanical Engineering, Georgia Institute of Technology 2007 | B.S. Mechanical Engineering, Georgia Institute of Technology 2005</t>
        </is>
      </c>
      <c r="V31" s="2" t="inlineStr">
        <is>
          <t>Nano-Bio-Thermal Engineering Laboratory</t>
        </is>
      </c>
      <c r="W31" s="3">
        <f>HYPERLINK("http://faculty.engineering.asu.edu/konrad/", "http://faculty.engineering.asu.edu/konrad/")</f>
        <v/>
      </c>
      <c r="X31" s="2" t="inlineStr"/>
      <c r="Y31" s="2" t="inlineStr"/>
      <c r="Z31" s="2" t="inlineStr"/>
      <c r="AA31" s="2" t="inlineStr"/>
      <c r="AB31" s="2" t="inlineStr"/>
      <c r="AC31" s="2" t="inlineStr">
        <is>
          <t>Rykaczewski Lab</t>
        </is>
      </c>
      <c r="AD31" s="2" t="inlineStr">
        <is>
          <t>ENGRC 309 (Tempe, AZ 85287)</t>
        </is>
      </c>
      <c r="AE31" s="2" t="b">
        <v>1</v>
      </c>
      <c r="AF31" s="3">
        <f>HYPERLINK("https://faculty.engineering.asu.edu/directory/semte/aerospace-and-mechanical-engineering/", "https://faculty.engineering.asu.edu/directory/semte/aerospace-and-mechanical-engineering/")</f>
        <v/>
      </c>
    </row>
    <row r="32">
      <c r="A32" s="2" t="inlineStr">
        <is>
          <t>Minglei Qu</t>
        </is>
      </c>
      <c r="B32" s="2" t="inlineStr">
        <is>
          <t>Arizona State University</t>
        </is>
      </c>
      <c r="C32" s="3">
        <f>HYPERLINK("https://search.asu.edu/profile/mingleiq", "https://search.asu.edu/profile/mingleiq")</f>
        <v/>
      </c>
      <c r="D32" s="3">
        <f>HYPERLINK("https://scholar.google.com/citations?hl=en&amp;user=9LWNC50AAAAJ", "Scholar (9LWNC50AAAAJ)")</f>
        <v/>
      </c>
      <c r="E32" s="2" t="inlineStr">
        <is>
          <t>Assistant Professor</t>
        </is>
      </c>
      <c r="F32" s="2" t="inlineStr">
        <is>
          <t>Aerospace &amp; Mechanical Engineering</t>
        </is>
      </c>
      <c r="G32" s="2" t="inlineStr">
        <is>
          <t>9LWNC50AAAAJ</t>
        </is>
      </c>
      <c r="H32" s="3">
        <f>HYPERLINK("mailto:minglei.qu@asu.edu", "minglei.qu@asu.edu")</f>
        <v/>
      </c>
      <c r="I32" s="2" t="n">
        <v>2</v>
      </c>
      <c r="J32" s="2" t="inlineStr">
        <is>
          <t>composites, materials</t>
        </is>
      </c>
      <c r="K32" s="2" t="inlineStr"/>
      <c r="L32" s="2" t="inlineStr">
        <is>
          <t>"Measurement of temperature evolution inside melt pool during laser powder bed fusion" [Additive manufacturing] (2026) | "Site-specific hydrogen atom transfer mechanism of astaxanthin in hydroxyl radical scavenging: Integrated spectroscopic and DFT insights" [APL Materials] (2026) | "Numerical Shape Optimization of Auxetic Structures through Cross-sectional Mass Redistribution" [SSRN Electronic Journal] (2026)</t>
        </is>
      </c>
      <c r="M32" s="2" t="inlineStr">
        <is>
          <t>"Pore elimination mechanisms during 3D printing of metals" [Nature Communications] (2019, 414 cites) | "Direct observation of pore formation mechanisms during LPBF additive manufacturing process and high energy density laser welding" [International Journal of Machine Tools and Manufacture] (2020, 314 cites) | "In-situ full-field mapping of melt flow dynamics in laser metal additive manufacturing" [Additive manufacturing] (2019, 255 cites)</t>
        </is>
      </c>
      <c r="N32" s="2" t="inlineStr">
        <is>
          <t>MAE 213: Mechanics of Materials | MAE 598: Special Topics</t>
        </is>
      </c>
      <c r="O32" s="2" t="inlineStr"/>
      <c r="P32" s="2" t="inlineStr"/>
      <c r="Q32" s="2" t="inlineStr">
        <is>
          <t>Additive Manufacturing Materials and Processes, Additive Manufacturing and 3D Printing Technologies, Welding Techniques and Residual Stresses, Laser-induced spectroscopy and plasma, Laser Material Processing Techniques</t>
        </is>
      </c>
      <c r="R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S32" s="2" t="inlineStr"/>
      <c r="T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U32" s="2" t="inlineStr">
        <is>
          <t>PhD. Mechanical Engineering, University of Wisconsin-Madison 2023</t>
        </is>
      </c>
      <c r="V32" s="2" t="inlineStr"/>
      <c r="W32" s="2" t="inlineStr"/>
      <c r="X32" s="2" t="inlineStr"/>
      <c r="Y32" s="2" t="inlineStr"/>
      <c r="Z32" s="2" t="inlineStr"/>
      <c r="AA32" s="2" t="inlineStr"/>
      <c r="AB32" s="2" t="inlineStr"/>
      <c r="AC32" s="2" t="inlineStr"/>
      <c r="AD32" s="2" t="inlineStr">
        <is>
          <t>Campus: Tempe</t>
        </is>
      </c>
      <c r="AE32" s="2" t="b">
        <v>1</v>
      </c>
      <c r="AF32" s="3">
        <f>HYPERLINK("https://faculty.engineering.asu.edu/directory/semte/aerospace-and-mechanical-engineering/", "https://faculty.engineering.asu.edu/directory/semte/aerospace-and-mechanical-engineering/")</f>
        <v/>
      </c>
    </row>
    <row r="33">
      <c r="A33" s="2" t="inlineStr">
        <is>
          <t>Qiong Nian</t>
        </is>
      </c>
      <c r="B33" s="2" t="inlineStr">
        <is>
          <t>Arizona State University</t>
        </is>
      </c>
      <c r="C33" s="3">
        <f>HYPERLINK("https://search.asu.edu/profile/qnian", "https://search.asu.edu/profile/qnian")</f>
        <v/>
      </c>
      <c r="D33" s="3">
        <f>HYPERLINK("https://scholar.google.com/citations?view_op=search_authors&amp;mauthors=Qiong%20Nian%20Arizona%20State%20University", "Google Scholar Search")</f>
        <v/>
      </c>
      <c r="E33" s="2" t="inlineStr">
        <is>
          <t>Associate Professor</t>
        </is>
      </c>
      <c r="F33" s="2" t="inlineStr">
        <is>
          <t>Aerospace &amp; Mechanical Engineering</t>
        </is>
      </c>
      <c r="G33" s="2" t="inlineStr"/>
      <c r="H33" s="3">
        <f>HYPERLINK("mailto:Qiong.Nian@asu.edu", "Qiong.Nian@asu.edu")</f>
        <v/>
      </c>
      <c r="I33" s="2" t="n">
        <v>2</v>
      </c>
      <c r="J33" s="2" t="inlineStr">
        <is>
          <t>aerospace, materials</t>
        </is>
      </c>
      <c r="K33" s="2" t="inlineStr"/>
      <c r="L33" s="2" t="inlineStr">
        <is>
          <t>"Mechanical behaviors and predictable fracture modes of ultralight NiTi Gyroid lattice metamaterials fabricated by laser powder bed fusion" [Additive Manufacturing Frontiers] (2026) | "Numerical Shape Optimization of Auxetic Structures through Cross-sectional Mass Redistribution" [SSRN Electronic Journal] (2026) | "Numerical Shape Optimization of Auxetic Structures through Cross-sectional Mass Redistribution" [SSRN Electronic Journal] (2026)</t>
        </is>
      </c>
      <c r="M33" s="2" t="inlineStr">
        <is>
          <t>"3D printing graphene-aluminum nanocomposites" [Journal of Alloys and Compounds] (2018, 170 cites) | "3D Printing‐Enabled Nanoparticle Alignment: A Review of Mechanisms and Applications" [Small] (2021, 168 cites) | "Flyweight, Superelastic, Electrically Conductive, and Flame‐Retardant 3D Multi‐Nanolayer Graphene/Ceramic Metamaterial" [Advanced Materials] (2017, 137 cites)</t>
        </is>
      </c>
      <c r="N33" s="2" t="inlineStr">
        <is>
          <t>MAE 593: Applied Project | MAE 545: Modern Manufacturing Methods | MAE 499: Individualized Instruction</t>
        </is>
      </c>
      <c r="O33" s="2" t="inlineStr"/>
      <c r="P33" s="2" t="inlineStr"/>
      <c r="Q33" s="2" t="inlineStr">
        <is>
          <t>Graphene research and applications, Additive Manufacturing and 3D Printing Technologies, Laser-Ablation Synthesis of Nanoparticles, Quantum Dots Synthesis And Properties, Chalcogenide Semiconductor Thin Films</t>
        </is>
      </c>
      <c r="R33" s="2" t="inlineStr">
        <is>
          <t>Nanomanufacturing, additive manufacturing, laser-based material processing, laser matter interaction and physics simulation; inkjet printing of functional materials; and 2D materials fabrication for energy storage and bio-sensors.</t>
        </is>
      </c>
      <c r="S33" s="2" t="inlineStr">
        <is>
          <t>Additive Manufacturing, Manufacturing Engineering, Mechanical Engineering</t>
        </is>
      </c>
      <c r="T33" s="2" t="inlineStr">
        <is>
          <t>Nian's research interests include additive manufacturing, laser-based manufacturing and material processing, laser matter interaction and physics simulation, and functional materials for energy storage and bio-sensors.</t>
        </is>
      </c>
      <c r="U33" s="2" t="inlineStr">
        <is>
          <t>Ph.D. Manufacturing, Industrial Engineering, Purdue University 2015 | B.Sc. Materials Science and Engineering, University of Science and Technology of China 2009</t>
        </is>
      </c>
      <c r="V33" s="2" t="inlineStr"/>
      <c r="W33" s="3">
        <f>HYPERLINK("https://mmmplab.engineering.asu.edu/", "https://mmmplab.engineering.asu.edu/")</f>
        <v/>
      </c>
      <c r="X33" s="2" t="inlineStr"/>
      <c r="Y33" s="2" t="inlineStr"/>
      <c r="Z33" s="2" t="inlineStr"/>
      <c r="AA33" s="2" t="inlineStr"/>
      <c r="AB33" s="2" t="inlineStr"/>
      <c r="AC33" s="2" t="inlineStr"/>
      <c r="AD33" s="2" t="inlineStr">
        <is>
          <t>Campus: Tempe</t>
        </is>
      </c>
      <c r="AE33" s="2" t="b">
        <v>1</v>
      </c>
      <c r="AF33" s="3">
        <f>HYPERLINK("https://faculty.engineering.asu.edu/directory/semte/aerospace-and-mechanical-engineering/", "https://faculty.engineering.asu.edu/directory/semte/aerospace-and-mechanical-engineering/")</f>
        <v/>
      </c>
    </row>
    <row r="34">
      <c r="A34" s="2" t="inlineStr">
        <is>
          <t>Ronald Calhoun</t>
        </is>
      </c>
      <c r="B34" s="2" t="inlineStr">
        <is>
          <t>Arizona State University</t>
        </is>
      </c>
      <c r="C34" s="3">
        <f>HYPERLINK("https://search.asu.edu/profile/rcalhou", "https://search.asu.edu/profile/rcalhou")</f>
        <v/>
      </c>
      <c r="D34" s="3">
        <f>HYPERLINK("https://scholar.google.com/citations?view_op=search_authors&amp;mauthors=Ronald%20Calhoun%20Arizona%20State%20University", "Google Scholar Search")</f>
        <v/>
      </c>
      <c r="E34" s="2" t="inlineStr">
        <is>
          <t>Associate Professor</t>
        </is>
      </c>
      <c r="F34" s="2" t="inlineStr">
        <is>
          <t>Aerospace &amp; Mechanical Engineering</t>
        </is>
      </c>
      <c r="G34" s="2" t="inlineStr"/>
      <c r="H34" s="3">
        <f>HYPERLINK("mailto:Ronald.Calhoun@asu.edu", "Ronald.Calhoun@asu.edu")</f>
        <v/>
      </c>
      <c r="I34" s="2" t="n">
        <v>2</v>
      </c>
      <c r="J34" s="2" t="inlineStr">
        <is>
          <t>boundary layer, fluid dynamics</t>
        </is>
      </c>
      <c r="K34" s="2" t="inlineStr"/>
      <c r="L34" s="2" t="inlineStr"/>
      <c r="M34" s="2" t="inlineStr">
        <is>
          <t>"The Canopy Horizontal Array Turbulence Study" [Bulletin of the American Meteorological Society] (2010, 128 cites) | "Scopes and Challenges of Dual-Doppler Lidar Wind Measurements—An Error Analysis" [Journal of Atmospheric and Oceanic Technology] (2013, 114 cites) | "Turbulent flow over a wavy surface: Neutral case" [Journal of Geophysical Research Atmospheres] (2001, 85 cites)</t>
        </is>
      </c>
      <c r="N34" s="2" t="inlineStr">
        <is>
          <t>MAE 579: Wind Energy | MAE 242: Intro to Fluid Mechanics | MAE 593: Applied Project</t>
        </is>
      </c>
      <c r="O34" s="2" t="inlineStr"/>
      <c r="P34" s="2" t="inlineStr"/>
      <c r="Q34" s="2" t="inlineStr">
        <is>
          <t>Wind and Air Flow Studies, Meteorological Phenomena and Simulations, Fluid Dynamics and Turbulent Flows, Wind Energy Research and Development, Plant Water Relations and Carbon Dynamics</t>
        </is>
      </c>
      <c r="R34" s="2" t="inlineStr"/>
      <c r="S34" s="2" t="inlineStr"/>
      <c r="T34" s="2" t="inlineStr">
        <is>
          <t>Calhoun’s research interests are in fluid dynamics; atmospheric sciences; boundary layer; wind energy and remote sensing.</t>
        </is>
      </c>
      <c r="U34" s="2" t="inlineStr">
        <is>
          <t>Ph.D. Civil and Environmental Engineering, Stanford University 1998 | Engineer. Civil and Environmental Engineering, Stanford University 1993 | M.S. Civil and Environmental Engineering, Stanford University 1992 | B.S. Symbolic Systems, Stanford University 1989</t>
        </is>
      </c>
      <c r="V34" s="2" t="inlineStr">
        <is>
          <t>Wind Energy and Atmospheric Boundary Layer Lab</t>
        </is>
      </c>
      <c r="W34" s="3">
        <f>HYPERLINK("https://windlab.engineering.asu.edu/ronald-calhoun/", "https://windlab.engineering.asu.edu/ronald-calhoun/")</f>
        <v/>
      </c>
      <c r="X34" s="2" t="inlineStr"/>
      <c r="Y34" s="2" t="inlineStr"/>
      <c r="Z34" s="2" t="inlineStr"/>
      <c r="AA34" s="2" t="inlineStr"/>
      <c r="AB34" s="2" t="inlineStr"/>
      <c r="AC34" s="2" t="inlineStr"/>
      <c r="AD34" s="2" t="inlineStr">
        <is>
          <t>Goldwater 466 (TEMPE, AZ 85287-6106)</t>
        </is>
      </c>
      <c r="AE34" s="2" t="b">
        <v>1</v>
      </c>
      <c r="AF34" s="3">
        <f>HYPERLINK("https://faculty.engineering.asu.edu/directory/semte/aerospace-and-mechanical-engineering/", "https://faculty.engineering.asu.edu/directory/semte/aerospace-and-mechanical-engineering/")</f>
        <v/>
      </c>
    </row>
    <row r="35">
      <c r="A35" s="2" t="inlineStr">
        <is>
          <t>Wanxin Jin</t>
        </is>
      </c>
      <c r="B35" s="2" t="inlineStr">
        <is>
          <t>Arizona State University</t>
        </is>
      </c>
      <c r="C35" s="3">
        <f>HYPERLINK("https://search.asu.edu/profile/wjin34", "https://search.asu.edu/profile/wjin34")</f>
        <v/>
      </c>
      <c r="D35" s="3">
        <f>HYPERLINK("https://scholar.google.com/citations?hl=en&amp;user=SoEC4h4AAAAJ", "Scholar (SoEC4h4AAAAJ)")</f>
        <v/>
      </c>
      <c r="E35" s="2" t="inlineStr">
        <is>
          <t>Assistant Professor</t>
        </is>
      </c>
      <c r="F35" s="2" t="inlineStr">
        <is>
          <t>Aerospace &amp; Mechanical Engineering</t>
        </is>
      </c>
      <c r="G35" s="2" t="inlineStr">
        <is>
          <t>SoEC4h4AAAAJ</t>
        </is>
      </c>
      <c r="H35" s="3">
        <f>HYPERLINK("mailto:wjin@asu.edu", "wjin@asu.edu")</f>
        <v/>
      </c>
      <c r="I35" s="2" t="n">
        <v>2</v>
      </c>
      <c r="J35" s="2" t="inlineStr">
        <is>
          <t>robot, robotics</t>
        </is>
      </c>
      <c r="K35" s="2" t="inlineStr">
        <is>
          <t>Below are selected papers that represent our main research threads. Please visit Publications for the full list. Contact-rich i...</t>
        </is>
      </c>
      <c r="L35" s="2" t="inlineStr">
        <is>
          <t>"Real-Time Shape Control of Multi-Segment Soft Robotic Arms Using Koopman Operators with Global and Local Observables" [arXiv (Cornell University)] (2026) | "Cross-Embodiment Robot Manipulation via a Unified Hand Action Space" [arXiv (Cornell University)] (2026) | "Cross-Embodiment Robot Manipulation via a Unified Hand Action Space" [arXiv (Cornell University)] (2026)</t>
        </is>
      </c>
      <c r="M35" s="2" t="inlineStr">
        <is>
          <t>"Inverse optimal control from incomplete trajectory observations" [The International Journal of Robotics Research] (2021, 55 cites) | "Inverse Optimal Control for Multiphase Cost Functions" [IEEE Transactions on Robotics] (2019, 52 cites) | "A Line-Based-Clustering Approach for Ball Grid Array Component Inspection in Surface-Mount Technology" [IEEE Transactions on Industrial Electronics] (2016, 52 cites)</t>
        </is>
      </c>
      <c r="N35" s="2" t="inlineStr">
        <is>
          <t>MAE 301: Applied Experimental Statistic | MAE 593: Applied Project | MAE 547: Modeling and Control of Robots</t>
        </is>
      </c>
      <c r="O35" s="2" t="inlineStr"/>
      <c r="P35" s="2" t="inlineStr">
        <is>
          <t>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 | If you are interested, please submit this form: https://forms.gle/Yo5mQcwTrogHTgu77 . If there is a potential fit, you should expect to be contacted within one week; if you do not hear back, please email wjin@asu.edu for follow-up.</t>
        </is>
      </c>
      <c r="Q35" s="2" t="inlineStr">
        <is>
          <t>Robot Manipulation and Learning, Advanced Control Systems Optimization, Reinforcement Learning in Robotics, Robotic Mechanisms and Dynamics, Robotic Path Planning Algorithms</t>
        </is>
      </c>
      <c r="R35" s="2" t="inlineStr">
        <is>
          <t>https://irislab.tech/</t>
        </is>
      </c>
      <c r="S35" s="2" t="inlineStr"/>
      <c r="T35" s="2" t="inlineStr">
        <is>
          <t>Jin's research includes robotics, control and machine learning, with a focus on the autonomy of robots interacting with humans and objects.</t>
        </is>
      </c>
      <c r="U35" s="2" t="inlineStr">
        <is>
          <t>Ph.D., Purdue University 2021 | Master of Science, Harbin Institute of Technology, 2016 | Bachelor of Engineering, Harbin Institute of Technology, 2014</t>
        </is>
      </c>
      <c r="V35" s="2" t="inlineStr">
        <is>
          <t>Intelligent Robotics and Interactive Systems Lab (IRIS Lab)</t>
        </is>
      </c>
      <c r="W35" s="3">
        <f>HYPERLINK("https://irislab.tech/", "https://irislab.tech/")</f>
        <v/>
      </c>
      <c r="X35" s="2" t="inlineStr">
        <is>
          <t>ASU undergraduate and master students are welcome to join IRIS Lab research projects in robotics, embodied AI, vision and perception, robot learning, control, and autonomy. Students interested in a thesis, independent study, or sustained applied research project are especially encouraged to reach out. | 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t>
        </is>
      </c>
      <c r="Y35" s="2" t="inlineStr"/>
      <c r="Z35" s="2" t="inlineStr"/>
      <c r="AA35" s="2" t="inlineStr">
        <is>
          <t>NSF</t>
        </is>
      </c>
      <c r="AB35" s="3">
        <f>HYPERLINK("https://github.com/asu-iris", "https://github.com/asu-iris")</f>
        <v/>
      </c>
      <c r="AC35" s="2" t="inlineStr">
        <is>
          <t>Recent Updates</t>
        </is>
      </c>
      <c r="AD35" s="2" t="inlineStr">
        <is>
          <t>Campus: Tempe</t>
        </is>
      </c>
      <c r="AE35" s="2" t="b">
        <v>1</v>
      </c>
      <c r="AF35" s="3">
        <f>HYPERLINK("https://faculty.engineering.asu.edu/directory/semte/aerospace-and-mechanical-engineering/", "https://faculty.engineering.asu.edu/directory/semte/aerospace-and-mechanical-engineering/")</f>
        <v/>
      </c>
    </row>
    <row r="36">
      <c r="A36" s="2" t="inlineStr">
        <is>
          <t>Yongming Liu</t>
        </is>
      </c>
      <c r="B36" s="2" t="inlineStr">
        <is>
          <t>Arizona State University</t>
        </is>
      </c>
      <c r="C36" s="3">
        <f>HYPERLINK("https://search.asu.edu/profile/yliu35", "https://search.asu.edu/profile/yliu35")</f>
        <v/>
      </c>
      <c r="D36" s="3">
        <f>HYPERLINK("https://scholar.google.com/citations?view_op=search_authors&amp;mauthors=Yongming%20Liu%20Arizona%20State%20University", "Google Scholar Search")</f>
        <v/>
      </c>
      <c r="E36" s="2" t="inlineStr">
        <is>
          <t>Professor</t>
        </is>
      </c>
      <c r="F36" s="2" t="inlineStr">
        <is>
          <t>Aerospace &amp; Mechanical Engineering</t>
        </is>
      </c>
      <c r="G36" s="2" t="inlineStr"/>
      <c r="H36" s="3">
        <f>HYPERLINK("mailto:Yongming.Liu@asu.edu", "Yongming.Liu@asu.edu")</f>
        <v/>
      </c>
      <c r="I36" s="2" t="n">
        <v>2</v>
      </c>
      <c r="J36" s="2" t="inlineStr">
        <is>
          <t>aerospace, materials</t>
        </is>
      </c>
      <c r="K36" s="2" t="inlineStr"/>
      <c r="L36" s="2" t="inlineStr">
        <is>
          <t>"Comment on “Responsiveness and minimal clinically important changes of surface topography parameters in adolescents with idiopathic scoliosis: results from the schroth exercise trial”" [European Spine Journal] (2026) | "Output exponential synchronization of coupled nonlinear multi-agent systems via adaptive discrete spatiotemporal-stepwise sampling method" [Chaos Solitons &amp; Fractals] (2026) | "PID Tuning for Micro Screw Pumps Based on an Improved Spider Wasp Algorithm" [Electronics] (2026)</t>
        </is>
      </c>
      <c r="M36" s="2" t="inlineStr">
        <is>
          <t>"Removal of Copper Ions from Wastewater: A Review" [International Journal of Environmental Research and Public Health] (2023, 284 cites) | "Fatigue modeling using neural networks: A comprehensive review" [Fatigue &amp; Fracture of Engineering Materials &amp; Structures] (2022, 260 cites) | "Microstructure Representation and Reconstruction of Heterogeneous Materials Via Deep Belief Network for Computational Material Design" [Journal of Mechanical Design] (2017, 196 cites)</t>
        </is>
      </c>
      <c r="N36" s="2" t="inlineStr">
        <is>
          <t>MAE 548: Prob Methods for Eng Des/Analy | MAE 593: Applied Project | MAE 584: Internship</t>
        </is>
      </c>
      <c r="O36" s="2" t="inlineStr"/>
      <c r="P36" s="2" t="inlineStr"/>
      <c r="Q36" s="2" t="inlineStr">
        <is>
          <t>Fatigue and fracture mechanics, Structural Health Monitoring Techniques, Non-Destructive Testing Techniques, Probabilistic and Robust Engineering Design, Ultrasonics and Acoustic Wave Propagation</t>
        </is>
      </c>
      <c r="R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S36" s="2" t="inlineStr"/>
      <c r="T36" s="2" t="inlineStr">
        <is>
          <t>Liu heads the Prognostic Analysis and Reliability Assessment Laboratory (PARA). He joined ASU in 2012.</t>
        </is>
      </c>
      <c r="U36" s="2" t="inlineStr">
        <is>
          <t>Ph.D. Civil Engineering, Vanderbilt University 2006 | M.S. Structural Engineering, Tongji University, Shanghai, China 2002 | B.S. Structural Engineering, Tongji University, Shanghai, China 1999</t>
        </is>
      </c>
      <c r="V36" s="2" t="inlineStr">
        <is>
          <t>Prognostics and Health Management (PHM) Lab</t>
        </is>
      </c>
      <c r="W36" s="2" t="inlineStr"/>
      <c r="X36" s="2" t="inlineStr"/>
      <c r="Y36" s="2" t="inlineStr"/>
      <c r="Z36" s="2" t="inlineStr"/>
      <c r="AA36" s="2" t="inlineStr"/>
      <c r="AB36" s="2" t="inlineStr"/>
      <c r="AC36" s="2" t="inlineStr"/>
      <c r="AD36" s="2" t="inlineStr">
        <is>
          <t>ENGRC 409 (Tempe, AZ 85287-6106)</t>
        </is>
      </c>
      <c r="AE36" s="2" t="b">
        <v>1</v>
      </c>
      <c r="AF36" s="3">
        <f>HYPERLINK("https://faculty.engineering.asu.edu/directory/semte/aerospace-and-mechanical-engineering/", "https://faculty.engineering.asu.edu/directory/semte/aerospace-and-mechanical-engineering/")</f>
        <v/>
      </c>
    </row>
    <row r="37">
      <c r="A37" s="2" t="inlineStr">
        <is>
          <t>Cindy (Xiangjia) Li</t>
        </is>
      </c>
      <c r="B37" s="2" t="inlineStr">
        <is>
          <t>Arizona State University</t>
        </is>
      </c>
      <c r="C37" s="3">
        <f>HYPERLINK("https://search.asu.edu/profile/xiangji5", "https://search.asu.edu/profile/xiangji5")</f>
        <v/>
      </c>
      <c r="D37" s="3">
        <f>HYPERLINK("https://scholar.google.com/citations?hl=en&amp;user=tGQzHJIAAAAJ", "Scholar (tGQzHJIAAAAJ)")</f>
        <v/>
      </c>
      <c r="E37" s="2" t="inlineStr">
        <is>
          <t>Associate Professor</t>
        </is>
      </c>
      <c r="F37" s="2" t="inlineStr">
        <is>
          <t>Aerospace &amp; Mechanical Engineering</t>
        </is>
      </c>
      <c r="G37" s="2" t="inlineStr">
        <is>
          <t>tGQzHJIAAAAJ</t>
        </is>
      </c>
      <c r="H37" s="3">
        <f>HYPERLINK("mailto:xiangjia.li@asu.edu", "xiangjia.li@asu.edu")</f>
        <v/>
      </c>
      <c r="I37" s="2" t="n">
        <v>1</v>
      </c>
      <c r="J37" s="2" t="inlineStr">
        <is>
          <t>materials</t>
        </is>
      </c>
      <c r="K37" s="2" t="inlineStr">
        <is>
          <t>Dylan Joralmon~, Soham Khairnar, Xiangjia Li*, "Rapid Fabrication of Multi-Metal 3D Objects with Adjustable Gradients by Contin...</t>
        </is>
      </c>
      <c r="L37" s="2" t="inlineStr">
        <is>
          <t>"High-speed 3D printing of alloy architectures enabled by continuous liquid interface production" [Additive manufacturing] (2026) | "Enhancing polymer composite performance through optimized alignment with machine learning and in-situ monitoring in electrically assisted vat photopolymerization" [Composites Science and Technology] (2026) | "Effects of Polymer Matrix Structures on Metallic Growth in Electrically Assisted Vat Photopolymerization for Heterogeneous Metal-Polymer Printing" [Journal of Micro and Nano-Manufacturing] (2025)</t>
        </is>
      </c>
      <c r="M37" s="2" t="inlineStr">
        <is>
          <t>"Recent Progress in Biomimetic Additive Manufacturing Technology: From Materials to Functional Structures" [Advanced Materials] (2018, 540 cites) | "3D‐Printed Biomimetic Super‐Hydrophobic Structure for Microdroplet Manipulation and Oil/Water Separation" [Advanced Materials] (2017, 528 cites) | "Electrically assisted 3D printing of nacre-inspired structures with self-sensing capability" [Science Advances] (2019, 309 cites)</t>
        </is>
      </c>
      <c r="N37" s="2" t="inlineStr">
        <is>
          <t>MAE 301: Applied Experimental Statistic | MAE 593: Applied Project | MAE 494: Special Topics</t>
        </is>
      </c>
      <c r="O37" s="2" t="inlineStr">
        <is>
          <t>2026 The J. Orin Edson Entrepreneurship &amp; Innovation Seed Funding Award ASU 2025 1st place Skysong Startup Competition C</t>
        </is>
      </c>
      <c r="P37" s="2" t="inlineStr">
        <is>
          <t>If you are interested in joining us, please send the full CV (with GPA; working and research experiences; publications) to Prof. Li (email: xiangjia.li AT asu.edu).</t>
        </is>
      </c>
      <c r="Q37" s="2" t="inlineStr">
        <is>
          <t>Additive Manufacturing and 3D Printing Technologies, Advanced Sensor and Energy Harvesting Materials, Advanced Materials and Mechanics, Surface Modification and Superhydrophobicity, 3D Printing in Biomedical Research</t>
        </is>
      </c>
      <c r="R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S37" s="2" t="inlineStr">
        <is>
          <t>Ceramic Technology, Mechanics of Composite Materials, Mechanical Engineering, Biomimicry, 3D Printing, Additive Manufacturing, Manufacturing Engineering</t>
        </is>
      </c>
      <c r="T37" s="2" t="inlineStr">
        <is>
          <t>Xiangjia (Cindy) Li is an Associate Professor at Arizona State University. Her research focuses on multiscale, multimaterial additive manufacturing and bioinspired design for functional materials and devices.</t>
        </is>
      </c>
      <c r="U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V37" s="2" t="inlineStr">
        <is>
          <t>Advanced Manufacturing and Bio-inspired Design Lab</t>
        </is>
      </c>
      <c r="W37" s="3">
        <f>HYPERLINK("https://www.cindyxjli.com/", "https://www.cindyxjli.com/")</f>
        <v/>
      </c>
      <c r="X37" s="2" t="inlineStr">
        <is>
          <t>The labMI is looking for creative, motivated and energetic Ph.D., Master and Undergraduate students from diverse science and engineering field!</t>
        </is>
      </c>
      <c r="Y37" s="2" t="inlineStr"/>
      <c r="Z37" s="2" t="inlineStr"/>
      <c r="AA37" s="2" t="inlineStr">
        <is>
          <t>NSF</t>
        </is>
      </c>
      <c r="AB37" s="2" t="inlineStr"/>
      <c r="AC37" s="2" t="inlineStr">
        <is>
          <t>Manufacturing</t>
        </is>
      </c>
      <c r="AD37" s="2" t="inlineStr">
        <is>
          <t>ERC457 551 E Tyler Mall (Tempe, AZ 85281)</t>
        </is>
      </c>
      <c r="AE37" s="2" t="b">
        <v>1</v>
      </c>
      <c r="AF37" s="3">
        <f>HYPERLINK("https://faculty.engineering.asu.edu/directory/semte/aerospace-and-mechanical-engineering/", "https://faculty.engineering.asu.edu/directory/semte/aerospace-and-mechanical-engineering/")</f>
        <v/>
      </c>
    </row>
    <row r="38">
      <c r="A38" s="2" t="inlineStr">
        <is>
          <t>James Middleton</t>
        </is>
      </c>
      <c r="B38" s="2" t="inlineStr">
        <is>
          <t>Arizona State University</t>
        </is>
      </c>
      <c r="C38" s="3">
        <f>HYPERLINK("https://search.asu.edu/profile/jimbo", "https://search.asu.edu/profile/jimbo")</f>
        <v/>
      </c>
      <c r="D38" s="3">
        <f>HYPERLINK("https://scholar.google.com/citations?view_op=search_authors&amp;mauthors=James%20Middleton%20Arizona%20State%20University", "Google Scholar Search")</f>
        <v/>
      </c>
      <c r="E38" s="2" t="inlineStr">
        <is>
          <t>Professor</t>
        </is>
      </c>
      <c r="F38" s="2" t="inlineStr">
        <is>
          <t>Aerospace &amp; Mechanical Engineering</t>
        </is>
      </c>
      <c r="G38" s="2" t="inlineStr"/>
      <c r="H38" s="3">
        <f>HYPERLINK("mailto:jimbo@asu.edu", "jimbo@asu.edu")</f>
        <v/>
      </c>
      <c r="I38" s="2" t="n">
        <v>1</v>
      </c>
      <c r="J38" s="2" t="inlineStr">
        <is>
          <t>aerospace</t>
        </is>
      </c>
      <c r="K38" s="2" t="inlineStr">
        <is>
          <t>Journal Articles Middleton, J. A. (in press). Archimedes, Euler, &amp; Nursing Cats: Rethinking the Arithmetic Mean. OnCore,</t>
        </is>
      </c>
      <c r="L38" s="2" t="inlineStr">
        <is>
          <t>"Potentially engaging mathematics teaching practices in secondary classrooms: Investigating observation tool validity and score reliability" [Investigations in Mathematics Learning] (2024) | "A Multi-Year Professional Development Program to Advance Active Learning Pedagogical Practices for Engineering Faculty" [AEE Journal] (2024)</t>
        </is>
      </c>
      <c r="M38" s="2" t="inlineStr">
        <is>
          <t>"Motivation for Achievement in Mathematics: Findings, Generalizations, and Criticisms of the Research" [Journal for Research in Mathematics Education] (1999, 520 cites) | "Attitudes, Beliefs, Motivation and Identity in Mathematics Education" [ICME-13 topical surveys] (2016, 158 cites) | "A Study of Intrinsic Motivation in the Mathematics Classroom: A Personal Constructs Approach" [Journal for Research in Mathematics Education] (1995, 131 cites)</t>
        </is>
      </c>
      <c r="N38" s="2" t="inlineStr">
        <is>
          <t>MAE 484: Internship | MAE 301: Applied Experimental Statistic | MAE 394: Special Topics</t>
        </is>
      </c>
      <c r="O38" s="2" t="inlineStr"/>
      <c r="P38" s="2" t="inlineStr"/>
      <c r="Q38" s="2" t="inlineStr">
        <is>
          <t>Mathematics Education and Teaching Techniques, Innovative Teaching and Learning Methods, Engineering Education and Pedagogy, Engineering Education and Curriculum Development, Education and Technology Integration</t>
        </is>
      </c>
      <c r="R38" s="2" t="inlineStr">
        <is>
          <t>Student learning of mathematical concepts. Motivation and mathematics learning. Teacher change. Applications of technology to mathematics teaching and learning.</t>
        </is>
      </c>
      <c r="S38" s="2" t="inlineStr"/>
      <c r="T38" s="2" t="inlineStr">
        <is>
          <t>Middleton’s research interests focus in the following areas where he has published extensively: children’s mathematical thinking; teacher and student motivation in mathematics; and teacher change in mathematics.</t>
        </is>
      </c>
      <c r="U38" s="2" t="inlineStr">
        <is>
          <t>Ph.D. Educational Psychology, University of Wisconsin-Madison 1992</t>
        </is>
      </c>
      <c r="V38" s="2" t="inlineStr"/>
      <c r="W38" s="2" t="inlineStr"/>
      <c r="X38" s="2" t="inlineStr"/>
      <c r="Y38" s="2" t="inlineStr"/>
      <c r="Z38" s="2" t="inlineStr"/>
      <c r="AA38" s="2" t="inlineStr"/>
      <c r="AB38" s="2" t="inlineStr"/>
      <c r="AC38" s="2" t="inlineStr"/>
      <c r="AD38" s="2" t="inlineStr">
        <is>
          <t>ENGRC 381 (TEMPE, AZ 85287-6106)</t>
        </is>
      </c>
      <c r="AE38" s="2" t="b">
        <v>1</v>
      </c>
      <c r="AF38" s="3">
        <f>HYPERLINK("https://faculty.engineering.asu.edu/directory/semte/aerospace-and-mechanical-engineering/", "https://faculty.engineering.asu.edu/directory/semte/aerospace-and-mechanical-engineering/")</f>
        <v/>
      </c>
    </row>
    <row r="39">
      <c r="A39" s="2" t="inlineStr">
        <is>
          <t>Lin Li</t>
        </is>
      </c>
      <c r="B39" s="2" t="inlineStr">
        <is>
          <t>Arizona State University</t>
        </is>
      </c>
      <c r="C39" s="3">
        <f>HYPERLINK("https://search.asu.edu/profile/linli25", "https://search.asu.edu/profile/linli25")</f>
        <v/>
      </c>
      <c r="D39" s="3">
        <f>HYPERLINK("https://scholar.google.com/citations?view_op=search_authors&amp;mauthors=Lin%20Li%20Arizona%20State%20University", "Google Scholar Search")</f>
        <v/>
      </c>
      <c r="E39" s="2" t="inlineStr">
        <is>
          <t>Associate Professor</t>
        </is>
      </c>
      <c r="F39" s="2" t="inlineStr">
        <is>
          <t>Aerospace &amp; Mechanical Engineering</t>
        </is>
      </c>
      <c r="G39" s="2" t="inlineStr"/>
      <c r="H39" s="3">
        <f>HYPERLINK("mailto:Lin.Li.10@asu.edu", "Lin.Li.10@asu.edu")</f>
        <v/>
      </c>
      <c r="I39" s="2" t="n">
        <v>1</v>
      </c>
      <c r="J39" s="2" t="inlineStr">
        <is>
          <t>materials</t>
        </is>
      </c>
      <c r="K39" s="2" t="inlineStr"/>
      <c r="L39" s="2" t="inlineStr"/>
      <c r="M39" s="2" t="inlineStr"/>
      <c r="N39" s="2" t="inlineStr">
        <is>
          <t>MAE 520: Stress Analysis | MAE 499: Individualized Instruction | MAE 598: Special Topics</t>
        </is>
      </c>
      <c r="O39" s="2" t="inlineStr"/>
      <c r="P39" s="2" t="inlineStr"/>
      <c r="Q39" s="2" t="inlineStr"/>
      <c r="R39" s="2" t="inlineStr"/>
      <c r="S39" s="2" t="inlineStr"/>
      <c r="T39" s="2" t="inlineStr">
        <is>
          <t>Li uses multiscale material mechanics models, computational and data tools to explore advanced materials for extreme environments.</t>
        </is>
      </c>
      <c r="U39" s="2" t="inlineStr">
        <is>
          <t>PhD The Ohio State University</t>
        </is>
      </c>
      <c r="V39" s="2" t="inlineStr"/>
      <c r="W39" s="2" t="inlineStr"/>
      <c r="X39" s="2" t="inlineStr"/>
      <c r="Y39" s="2" t="inlineStr"/>
      <c r="Z39" s="2" t="inlineStr"/>
      <c r="AA39" s="2" t="inlineStr"/>
      <c r="AB39" s="2" t="inlineStr"/>
      <c r="AC39" s="2" t="inlineStr"/>
      <c r="AD39" s="2" t="inlineStr">
        <is>
          <t>Campus: Tempe</t>
        </is>
      </c>
      <c r="AE39" s="2" t="b">
        <v>1</v>
      </c>
      <c r="AF39" s="3">
        <f>HYPERLINK("https://faculty.engineering.asu.edu/directory/semte/aerospace-and-mechanical-engineering/", "https://faculty.engineering.asu.edu/directory/semte/aerospace-and-mechanical-engineering/")</f>
        <v/>
      </c>
    </row>
    <row r="40">
      <c r="A40" s="2" t="inlineStr">
        <is>
          <t>Marc Mignolet</t>
        </is>
      </c>
      <c r="B40" s="2" t="inlineStr">
        <is>
          <t>Arizona State University</t>
        </is>
      </c>
      <c r="C40" s="3">
        <f>HYPERLINK("https://search.asu.edu/profile/marc03", "https://search.asu.edu/profile/marc03")</f>
        <v/>
      </c>
      <c r="D40" s="3">
        <f>HYPERLINK("https://scholar.google.com/citations?view_op=search_authors&amp;mauthors=Marc%20Mignolet%20Arizona%20State%20University", "Google Scholar Search")</f>
        <v/>
      </c>
      <c r="E40" s="2" t="inlineStr">
        <is>
          <t>Professor</t>
        </is>
      </c>
      <c r="F40" s="2" t="inlineStr">
        <is>
          <t>Aerospace &amp; Mechanical Engineering</t>
        </is>
      </c>
      <c r="G40" s="2" t="inlineStr"/>
      <c r="H40" s="3">
        <f>HYPERLINK("mailto:marc.mignolet@asu.edu", "marc.mignolet@asu.edu")</f>
        <v/>
      </c>
      <c r="I40" s="2" t="n">
        <v>1</v>
      </c>
      <c r="J40" s="2" t="inlineStr">
        <is>
          <t>aerospace</t>
        </is>
      </c>
      <c r="K40" s="2" t="inlineStr"/>
      <c r="L40" s="2" t="inlineStr">
        <is>
          <t>"Hybrid FEM-ROM for Aero-Thermo-Structural Analyses of Panel-Frame Assemblies" [AIAA Journal] (2026) | "Optimal Representation of a Varying Temperature Field for Coupling with a Structural Reduced Order Model" [River Publishers eBooks] (2025) | "Stochastic Iwan-Type Model of a Bolted Joint: Formulation and Identification" [River Publishers eBooks] (2025)</t>
        </is>
      </c>
      <c r="M40" s="2" t="inlineStr">
        <is>
          <t>"A review of indirect/non-intrusive reduced order modeling of nonlinear geometric structures" [Journal of Sound and Vibration] (2013, 336 cites) | "Stochastic reduced order models for uncertain geometrically nonlinear dynamical systems" [Computer Methods in Applied Mechanics and Engineering] (2008, 154 cites) | "Nonlinear reduced order modeling of isotropic and functionally graded plates" [International Journal of Non-Linear Mechanics] (2012, 118 cites)</t>
        </is>
      </c>
      <c r="N40" s="2" t="inlineStr">
        <is>
          <t>MAE 510: Dynamics and Vibrations | MAE 591: Seminar | MAE 394: Special Topics</t>
        </is>
      </c>
      <c r="O40" s="2" t="inlineStr"/>
      <c r="P40" s="2" t="inlineStr"/>
      <c r="Q40" s="2" t="inlineStr">
        <is>
          <t>Bladed Disk Vibration Dynamics, Structural Health Monitoring Techniques, Probabilistic and Robust Engineering Design, Vibration and Dynamic Analysis, Turbomachinery Performance and Optimization</t>
        </is>
      </c>
      <c r="R40" s="2" t="inlineStr"/>
      <c r="S40" s="2" t="inlineStr"/>
      <c r="T40" s="2" t="inlineStr">
        <is>
          <t>Mignolet's research interests include structural dynamics, vibrations, modeling of uncertainty in structures and stochastic multiscale analyses.</t>
        </is>
      </c>
      <c r="U40" s="2" t="inlineStr">
        <is>
          <t>Ph.D. Rice University 1987</t>
        </is>
      </c>
      <c r="V40" s="2" t="inlineStr"/>
      <c r="W40" s="2" t="inlineStr"/>
      <c r="X40" s="2" t="inlineStr"/>
      <c r="Y40" s="2" t="inlineStr"/>
      <c r="Z40" s="2" t="inlineStr"/>
      <c r="AA40" s="2" t="inlineStr"/>
      <c r="AB40" s="2" t="inlineStr"/>
      <c r="AC40" s="2" t="inlineStr"/>
      <c r="AD40" s="2" t="inlineStr">
        <is>
          <t>ENGRC 411 (TEMPE, AZ 85287-6106)</t>
        </is>
      </c>
      <c r="AE40" s="2" t="b">
        <v>1</v>
      </c>
      <c r="AF40" s="3">
        <f>HYPERLINK("https://faculty.engineering.asu.edu/directory/semte/aerospace-and-mechanical-engineering/", "https://faculty.engineering.asu.edu/directory/semte/aerospace-and-mechanical-engineering/")</f>
        <v/>
      </c>
    </row>
    <row r="41">
      <c r="A41" s="2" t="inlineStr">
        <is>
          <t>Pedro Peralta</t>
        </is>
      </c>
      <c r="B41" s="2" t="inlineStr">
        <is>
          <t>Arizona State University</t>
        </is>
      </c>
      <c r="C41" s="3">
        <f>HYPERLINK("https://search.asu.edu/profile/pperalta", "https://search.asu.edu/profile/pperalta")</f>
        <v/>
      </c>
      <c r="D41" s="3">
        <f>HYPERLINK("https://scholar.google.com/citations?view_op=search_authors&amp;mauthors=Pedro%20Peralta%20Arizona%20State%20University", "Google Scholar Search")</f>
        <v/>
      </c>
      <c r="E41" s="2" t="inlineStr">
        <is>
          <t>Professor</t>
        </is>
      </c>
      <c r="F41" s="2" t="inlineStr">
        <is>
          <t>Aerospace &amp; Mechanical Engineering</t>
        </is>
      </c>
      <c r="G41" s="2" t="inlineStr"/>
      <c r="H41" s="3">
        <f>HYPERLINK("mailto:pperalta@asu.edu", "pperalta@asu.edu")</f>
        <v/>
      </c>
      <c r="I41" s="2" t="n">
        <v>1</v>
      </c>
      <c r="J41" s="2" t="inlineStr">
        <is>
          <t>materials</t>
        </is>
      </c>
      <c r="K41" s="2" t="inlineStr"/>
      <c r="L41" s="2" t="inlineStr"/>
      <c r="M41" s="2" t="inlineStr"/>
      <c r="N41" s="2" t="inlineStr">
        <is>
          <t>MAE 213: Mechanics of Materials | MAE 593: Applied Project | MAE 520: Stress Analysis</t>
        </is>
      </c>
      <c r="O41" s="2" t="inlineStr"/>
      <c r="P41" s="2" t="inlineStr"/>
      <c r="Q41" s="2" t="inlineStr">
        <is>
          <t>High-Velocity Impact and Material Behavior, Microstructure and mechanical properties, Fatigue and fracture mechanics, Nuclear Materials and Properties, Intermetallics and Advanced Alloy Properties</t>
        </is>
      </c>
      <c r="R41" s="2" t="inlineStr"/>
      <c r="S41" s="2" t="inlineStr"/>
      <c r="T41" s="2" t="inlineStr">
        <is>
          <t>Peralta's research focuses on mechanics of materials, fatigue and fracture of metallic alloys, dynamic and shock loading of metallic and intermetallic materials.</t>
        </is>
      </c>
      <c r="U41" s="2" t="inlineStr">
        <is>
          <t>Ph.D. Materials Science and Engineering, University of Pennsylvania | M.S. Mechanical Engineering and Applied Mechanics, University of Pennsylvania | Bachelor’s degree. Mechanical Engineering, Universidad Simón Bolívar, Caracas, Venezuela</t>
        </is>
      </c>
      <c r="V41" s="2" t="inlineStr"/>
      <c r="W41" s="3">
        <f>HYPERLINK("https://faculty.engineering.asu.edu/pperalta/", "https://faculty.engineering.asu.edu/pperalta/")</f>
        <v/>
      </c>
      <c r="X41" s="2" t="inlineStr"/>
      <c r="Y41" s="2" t="inlineStr"/>
      <c r="Z41" s="2" t="inlineStr"/>
      <c r="AA41" s="2" t="inlineStr"/>
      <c r="AB41" s="2" t="inlineStr"/>
      <c r="AC41" s="2" t="inlineStr"/>
      <c r="AD41" s="2" t="inlineStr">
        <is>
          <t>ENGRC 352 (TEMPE, AZ 85287-6106)</t>
        </is>
      </c>
      <c r="AE41" s="2" t="b">
        <v>1</v>
      </c>
      <c r="AF41" s="3">
        <f>HYPERLINK("https://faculty.engineering.asu.edu/directory/semte/aerospace-and-mechanical-engineering/", "https://faculty.engineering.asu.edu/directory/semte/aerospace-and-mechanical-engineering/")</f>
        <v/>
      </c>
    </row>
    <row r="42">
      <c r="A42" s="2" t="inlineStr">
        <is>
          <t>Wonmo Kang</t>
        </is>
      </c>
      <c r="B42" s="2" t="inlineStr">
        <is>
          <t>Arizona State University</t>
        </is>
      </c>
      <c r="C42" s="3">
        <f>HYPERLINK("https://search.asu.edu/profile/wkang16", "https://search.asu.edu/profile/wkang16")</f>
        <v/>
      </c>
      <c r="D42" s="3">
        <f>HYPERLINK("https://scholar.google.com/citations?hl=en&amp;user=bHyyOTAAAAAJ", "Scholar (bHyyOTAAAAAJ)")</f>
        <v/>
      </c>
      <c r="E42" s="2" t="inlineStr">
        <is>
          <t>Associate Professor</t>
        </is>
      </c>
      <c r="F42" s="2" t="inlineStr">
        <is>
          <t>Aerospace &amp; Mechanical Engineering</t>
        </is>
      </c>
      <c r="G42" s="2" t="inlineStr">
        <is>
          <t>bHyyOTAAAAAJ</t>
        </is>
      </c>
      <c r="H42" s="3">
        <f>HYPERLINK("mailto:Wonmo.Kang@asu.edu", "Wonmo.Kang@asu.edu")</f>
        <v/>
      </c>
      <c r="I42" s="2" t="n">
        <v>1</v>
      </c>
      <c r="J42" s="2" t="inlineStr">
        <is>
          <t>materials</t>
        </is>
      </c>
      <c r="K42" s="2" t="inlineStr">
        <is>
          <t>top of page This website was built on Wix. Create yours today. Get Started Bio &amp; Nano Lab Home Dr. Kang Lab Members Publication...</t>
        </is>
      </c>
      <c r="L42" s="2" t="inlineStr">
        <is>
          <t>"Electrical Conductivity of Copper‐Graphene (Cu‐Gr) Composites: The Underlying Mechanisms of Ultrahigh Conductivity (Small 34/2026)" [Small] (2026) | "Thermal conductivity trends across cadmium sulfide nanoparticle sizes – from colloidal nanocrystals down to magic-sized clusters" [Chemical Physics] (2026) | "Electrical Conductivity of Copper‐Graphene (Cu‐Gr) Composites: The Underlying Mechanisms of Ultrahigh Conductivity" [Small] (2026)</t>
        </is>
      </c>
      <c r="M42" s="2" t="inlineStr">
        <is>
          <t>"Fibroblast Growth Factors: Biology, Function, and Application for Tissue Regeneration" [Journal of Tissue Engineering] (2010, 721 cites) | "Effects of electric current on the plastic deformation behavior of pure copper, iron, and titanium" [Acta Materialia] (2021, 168 cites) | "Nanofountain Probe Electroporation (NFP-E) of Single Cells" [Nano Letters] (2013, 116 cites)</t>
        </is>
      </c>
      <c r="N42" s="2" t="inlineStr">
        <is>
          <t>MAE 598: Special Topics | MAE 494: Special Topics | MAE 202: Mech.Particles/Rigid Bodies II</t>
        </is>
      </c>
      <c r="O42" s="2" t="inlineStr">
        <is>
          <t>NSF Career Award through the Advanced Manufacturing (AM) program, 2024. | U.S. Air Force Research Lab Summer Faculty (AFRL) Fellowship , 2021.</t>
        </is>
      </c>
      <c r="P42" s="2" t="inlineStr"/>
      <c r="Q42" s="2" t="inlineStr">
        <is>
          <t>Force Microscopy Techniques and Applications, Graphene research and applications, 3D Printing in Biomedical Research, Microfluidic and Bio-sensing Technologies, Physics of Superconductivity and Magnetism</t>
        </is>
      </c>
      <c r="R42" s="2" t="inlineStr">
        <is>
          <t>Mechanics of Composite Materials, Micro and Nanoscale Bioengineering, Nanotechnology, Thin Film Materials</t>
        </is>
      </c>
      <c r="S42" s="2" t="inlineStr">
        <is>
          <t>Mechanics of Composite Materials, Micro and Nanoscale Bioengineering, Nanotechnology, Thin Film Materials</t>
        </is>
      </c>
      <c r="T42" s="2" t="inlineStr">
        <is>
          <t>Kang's current research interests include functional materials for energy/manufacturing applications and biomaterials/biomechanics for injury and wound healing mechanisms.</t>
        </is>
      </c>
      <c r="U42" s="2" t="inlineStr">
        <is>
          <t>Ph.D. Mechanical Science and Engineering, University of Illinois at Urbana-Champaign 2012</t>
        </is>
      </c>
      <c r="V42" s="2" t="inlineStr"/>
      <c r="W42" s="3">
        <f>HYPERLINK("https://wonmokang3.wixsite.com/website", "https://wonmokang3.wixsite.com/website")</f>
        <v/>
      </c>
      <c r="X42" s="2" t="inlineStr">
        <is>
          <t>Actively recruiting / Openings mentioned on lab site</t>
        </is>
      </c>
      <c r="Y42" s="2" t="inlineStr"/>
      <c r="Z42" s="2" t="inlineStr">
        <is>
          <t>SEM</t>
        </is>
      </c>
      <c r="AA42" s="2" t="inlineStr">
        <is>
          <t>NSF, ONR</t>
        </is>
      </c>
      <c r="AB42" s="2" t="inlineStr"/>
      <c r="AC42" s="2" t="inlineStr">
        <is>
          <t>Highlighted as a cover in Small</t>
        </is>
      </c>
      <c r="AD42" s="2" t="inlineStr">
        <is>
          <t>Campus: Tempe</t>
        </is>
      </c>
      <c r="AE42" s="2" t="b">
        <v>1</v>
      </c>
      <c r="AF42" s="3">
        <f>HYPERLINK("https://faculty.engineering.asu.edu/directory/semte/aerospace-and-mechanical-engineering/", "https://faculty.engineering.asu.edu/directory/semte/aerospace-and-mechanical-engineering/")</f>
        <v/>
      </c>
    </row>
    <row r="43">
      <c r="A43" s="2" t="inlineStr">
        <is>
          <t>Yi Ren</t>
        </is>
      </c>
      <c r="B43" s="2" t="inlineStr">
        <is>
          <t>Arizona State University</t>
        </is>
      </c>
      <c r="C43" s="3">
        <f>HYPERLINK("https://search.asu.edu/profile/yren32", "https://search.asu.edu/profile/yren32")</f>
        <v/>
      </c>
      <c r="D43" s="3">
        <f>HYPERLINK("https://scholar.google.com/citations?view_op=search_authors&amp;mauthors=Yi%20Ren%20Arizona%20State%20University", "Google Scholar Search")</f>
        <v/>
      </c>
      <c r="E43" s="2" t="inlineStr">
        <is>
          <t>Associate Professor</t>
        </is>
      </c>
      <c r="F43" s="2" t="inlineStr">
        <is>
          <t>Aerospace &amp; Mechanical Engineering</t>
        </is>
      </c>
      <c r="G43" s="2" t="inlineStr"/>
      <c r="H43" s="3">
        <f>HYPERLINK("mailto:yiren@asu.edu", "yiren@asu.edu")</f>
        <v/>
      </c>
      <c r="I43" s="2" t="n">
        <v>1</v>
      </c>
      <c r="J43" s="2" t="inlineStr">
        <is>
          <t>aerospace</t>
        </is>
      </c>
      <c r="K43" s="2" t="inlineStr"/>
      <c r="L43" s="2" t="inlineStr"/>
      <c r="M43" s="2" t="inlineStr"/>
      <c r="N43" s="2" t="inlineStr">
        <is>
          <t>MAE 494: Special Topics | MAE 598: Special Topics | MAE 301: Applied Experimental Statistic</t>
        </is>
      </c>
      <c r="O43" s="2" t="inlineStr"/>
      <c r="P43" s="2" t="inlineStr"/>
      <c r="Q43" s="2" t="inlineStr"/>
      <c r="R43" s="2" t="inlineStr"/>
      <c r="S43" s="2" t="inlineStr"/>
      <c r="T43" s="2" t="inlineStr">
        <is>
          <t>Ren’s current research interests include optimization, product/configuration design, human-computer interaction and machine learning.</t>
        </is>
      </c>
      <c r="U43" s="2" t="inlineStr">
        <is>
          <t>Ph.D. Mechanical Engineering, University of Michigan 2011 | M.S. Mechanical Engineering, University of Michigan 2009 | B.S. Automative Engineering, Tsinghua University, China 2007</t>
        </is>
      </c>
      <c r="V43" s="2" t="inlineStr"/>
      <c r="W43" s="2" t="inlineStr"/>
      <c r="X43" s="2" t="inlineStr"/>
      <c r="Y43" s="2" t="inlineStr"/>
      <c r="Z43" s="2" t="inlineStr"/>
      <c r="AA43" s="2" t="inlineStr"/>
      <c r="AB43" s="2" t="inlineStr"/>
      <c r="AC43" s="2" t="inlineStr"/>
      <c r="AD43" s="2" t="inlineStr">
        <is>
          <t>GWC 464 (Tempe, AZ 85287-6106)</t>
        </is>
      </c>
      <c r="AE43" s="2" t="b">
        <v>1</v>
      </c>
      <c r="AF43" s="3">
        <f>HYPERLINK("https://faculty.engineering.asu.edu/directory/semte/aerospace-and-mechanical-engineering/", "https://faculty.engineering.asu.edu/directory/semte/aerospace-and-mechanical-engineering/")</f>
        <v/>
      </c>
    </row>
    <row r="44">
      <c r="A44" s="2" t="inlineStr">
        <is>
          <t>Derrick Speaks</t>
        </is>
      </c>
      <c r="B44" s="2" t="inlineStr">
        <is>
          <t>Arizona State University</t>
        </is>
      </c>
      <c r="C44" s="3">
        <f>HYPERLINK("https://search.asu.edu/profile/dspeaks2", "https://search.asu.edu/profile/dspeaks2")</f>
        <v/>
      </c>
      <c r="D44" s="3">
        <f>HYPERLINK("https://scholar.google.com/citations?view_op=search_authors&amp;mauthors=Derrick%20Speaks%20Arizona%20State%20University", "Google Scholar Search")</f>
        <v/>
      </c>
      <c r="E44" s="2" t="inlineStr">
        <is>
          <t>Assistant Teaching Professor</t>
        </is>
      </c>
      <c r="F44" s="2" t="inlineStr">
        <is>
          <t>Aerospace &amp; Mechanical Engineering</t>
        </is>
      </c>
      <c r="G44" s="2" t="inlineStr"/>
      <c r="H44" s="3">
        <f>HYPERLINK("mailto:Derrick.Speaks@asu.edu", "Derrick.Speaks@asu.edu")</f>
        <v/>
      </c>
      <c r="I44" s="2" t="n">
        <v>0</v>
      </c>
      <c r="J44" s="2" t="inlineStr"/>
      <c r="K44" s="2" t="inlineStr"/>
      <c r="L44" s="2" t="inlineStr">
        <is>
          <t>"Exploring the artificial intelligence implementation in solar photovoltaics: a bibliometric analysis and emerging trends" [IOP Conference Series Earth and Environmental Science] (2025) | "Interface Rotation in Accumulative Rolling Bonding (ARB) Cu/Nb Nanolaminates Under Constrained and Unconstrained Loading Conditions as Revealed by In Situ Micromechanical Testing" [Nanomaterials] (2025) | "Estimation of Lead Acid Battery Degradation—A Model for the Optimization of Battery Energy Storage System Using Machine Learning" [Electrochem] (2025)</t>
        </is>
      </c>
      <c r="M44" s="2" t="inlineStr">
        <is>
          <t>"Ideal transparent conductors for full spectrum photovoltaics" [Journal of Applied Physics] (2012, 100 cites) | "Effect of concentration, aging, and annealing on sol gel ZnO and Al-doped ZnO thin films" [International Journal of Mechanical and Materials Engineering] (2020, 77 cites) | "Fermi level stabilization energy in cadmium oxide" [Journal of Applied Physics] (2010, 75 cites)</t>
        </is>
      </c>
      <c r="N44" s="2" t="inlineStr">
        <is>
          <t>MAE 242: Intro to Fluid Mechanics | MAE 301: Applied Experimental Statistic | MAE 241: Intro to Thermodynamics</t>
        </is>
      </c>
      <c r="O44" s="2" t="inlineStr"/>
      <c r="P44" s="2" t="inlineStr"/>
      <c r="Q44" s="2" t="inlineStr">
        <is>
          <t>ZnO doping and properties, Chalcogenide Semiconductor Thin Films, Copper-based nanomaterials and applications, Quantum Dots Synthesis And Properties, Photovoltaic System Optimization Techniques</t>
        </is>
      </c>
      <c r="R44" s="2" t="inlineStr"/>
      <c r="S44" s="2" t="inlineStr"/>
      <c r="T44" s="2" t="inlineStr"/>
      <c r="U44" s="2" t="inlineStr"/>
      <c r="V44" s="2" t="inlineStr"/>
      <c r="W44" s="2" t="inlineStr"/>
      <c r="X44" s="2" t="inlineStr"/>
      <c r="Y44" s="2" t="inlineStr"/>
      <c r="Z44" s="2" t="inlineStr"/>
      <c r="AA44" s="2" t="inlineStr"/>
      <c r="AB44" s="2" t="inlineStr"/>
      <c r="AC44" s="2" t="inlineStr"/>
      <c r="AD44" s="2" t="inlineStr">
        <is>
          <t>Campus: Tempe</t>
        </is>
      </c>
      <c r="AE44" s="2" t="b">
        <v>0</v>
      </c>
      <c r="AF44" s="3">
        <f>HYPERLINK("https://faculty.engineering.asu.edu/directory/semte/aerospace-and-mechanical-engineering/", "https://faculty.engineering.asu.edu/directory/semte/aerospace-and-mechanical-engineering/")</f>
        <v/>
      </c>
    </row>
    <row r="45">
      <c r="A45" s="2" t="inlineStr">
        <is>
          <t>Erik Andersen</t>
        </is>
      </c>
      <c r="B45" s="2" t="inlineStr">
        <is>
          <t>Arizona State University</t>
        </is>
      </c>
      <c r="C45" s="3">
        <f>HYPERLINK("https://search.asu.edu/profile/ejande22", "https://search.asu.edu/profile/ejande22")</f>
        <v/>
      </c>
      <c r="D45" s="3">
        <f>HYPERLINK("https://scholar.google.com/citations?view_op=search_authors&amp;mauthors=Erik%20Andersen%20Arizona%20State%20University", "Google Scholar Search")</f>
        <v/>
      </c>
      <c r="E45" s="2" t="inlineStr">
        <is>
          <t>Professor</t>
        </is>
      </c>
      <c r="F45" s="2" t="inlineStr">
        <is>
          <t>Aerospace &amp; Mechanical Engineering</t>
        </is>
      </c>
      <c r="G45" s="2" t="inlineStr"/>
      <c r="H45" s="3">
        <f>HYPERLINK("mailto:Erik.J.Andersen@asu.edu", "Erik.J.Andersen@asu.edu")</f>
        <v/>
      </c>
      <c r="I45" s="2" t="n">
        <v>0</v>
      </c>
      <c r="J45" s="2" t="inlineStr"/>
      <c r="K45" s="2" t="inlineStr"/>
      <c r="L45" s="2" t="inlineStr"/>
      <c r="M45" s="2" t="inlineStr"/>
      <c r="N45" s="2" t="inlineStr">
        <is>
          <t>MAE 301: Applied Experimental Statistic | MAE 202: Mech.Particles/Rigid Bodies II | MAE 417: System Dynamics and Control II</t>
        </is>
      </c>
      <c r="O45" s="2" t="inlineStr"/>
      <c r="P45" s="2" t="inlineStr"/>
      <c r="Q45" s="2" t="inlineStr"/>
      <c r="R45" s="2" t="inlineStr"/>
      <c r="S45" s="2" t="inlineStr"/>
      <c r="T45" s="2" t="inlineStr"/>
      <c r="U45" s="2" t="inlineStr">
        <is>
          <t>Ph.D. in Mechanical Engineering 2022 - University of Utah B.S./M.S.in Mechanical Engineering 2018 - University of Utah</t>
        </is>
      </c>
      <c r="V45" s="2" t="inlineStr"/>
      <c r="W45" s="2" t="inlineStr"/>
      <c r="X45" s="2" t="inlineStr"/>
      <c r="Y45" s="2" t="inlineStr"/>
      <c r="Z45" s="2" t="inlineStr"/>
      <c r="AA45" s="2" t="inlineStr"/>
      <c r="AB45" s="2" t="inlineStr"/>
      <c r="AC45" s="2" t="inlineStr"/>
      <c r="AD45" s="2" t="inlineStr">
        <is>
          <t>Campus: Otherus</t>
        </is>
      </c>
      <c r="AE45" s="2" t="b">
        <v>0</v>
      </c>
      <c r="AF45" s="3">
        <f>HYPERLINK("https://faculty.engineering.asu.edu/directory/semte/aerospace-and-mechanical-engineering/", "https://faculty.engineering.asu.edu/directory/semte/aerospace-and-mechanical-engineering/")</f>
        <v/>
      </c>
    </row>
    <row r="46">
      <c r="A46" s="2" t="inlineStr">
        <is>
          <t>Ivy Chang</t>
        </is>
      </c>
      <c r="B46" s="2" t="inlineStr">
        <is>
          <t>Arizona State University</t>
        </is>
      </c>
      <c r="C46" s="3">
        <f>HYPERLINK("https://search.asu.edu/profile/iychang", "https://search.asu.edu/profile/iychang")</f>
        <v/>
      </c>
      <c r="D46" s="3">
        <f>HYPERLINK("https://scholar.google.com/citations?view_op=search_authors&amp;mauthors=Ivy%20Chang%20Arizona%20State%20University", "Google Scholar Search")</f>
        <v/>
      </c>
      <c r="E46" s="2" t="inlineStr">
        <is>
          <t>Assistant Teaching Professor</t>
        </is>
      </c>
      <c r="F46" s="2" t="inlineStr">
        <is>
          <t>Aerospace &amp; Mechanical Engineering</t>
        </is>
      </c>
      <c r="G46" s="2" t="inlineStr"/>
      <c r="H46" s="3">
        <f>HYPERLINK("mailto:Ivy.Chang@asu.edu", "Ivy.Chang@asu.edu")</f>
        <v/>
      </c>
      <c r="I46" s="2" t="n">
        <v>0</v>
      </c>
      <c r="J46" s="2" t="inlineStr"/>
      <c r="K46" s="2" t="inlineStr"/>
      <c r="L46" s="2" t="inlineStr"/>
      <c r="M46" s="2" t="inlineStr"/>
      <c r="N46" s="2" t="inlineStr">
        <is>
          <t>MAE 318: System Dynamics and Control I | MAE 417: System Dynamics and Control II | MAE 215: Intro to Programming in MATLAB</t>
        </is>
      </c>
      <c r="O46" s="2" t="inlineStr"/>
      <c r="P46" s="2" t="inlineStr"/>
      <c r="Q46" s="2" t="inlineStr"/>
      <c r="R46" s="2" t="inlineStr"/>
      <c r="S46" s="2" t="inlineStr"/>
      <c r="T46" s="2" t="inlineStr"/>
      <c r="U46" s="2" t="inlineStr"/>
      <c r="V46" s="2" t="inlineStr"/>
      <c r="W46" s="2" t="inlineStr"/>
      <c r="X46" s="2" t="inlineStr"/>
      <c r="Y46" s="2" t="inlineStr"/>
      <c r="Z46" s="2" t="inlineStr"/>
      <c r="AA46" s="2" t="inlineStr"/>
      <c r="AB46" s="2" t="inlineStr"/>
      <c r="AC46" s="2" t="inlineStr"/>
      <c r="AD46" s="2" t="inlineStr">
        <is>
          <t>Campus: Tempe</t>
        </is>
      </c>
      <c r="AE46" s="2" t="b">
        <v>0</v>
      </c>
      <c r="AF46" s="3">
        <f>HYPERLINK("https://faculty.engineering.asu.edu/directory/semte/aerospace-and-mechanical-engineering/", "https://faculty.engineering.asu.edu/directory/semte/aerospace-and-mechanical-engineering/")</f>
        <v/>
      </c>
    </row>
    <row r="47">
      <c r="A47" s="2" t="inlineStr">
        <is>
          <t>Joshua Wilbur</t>
        </is>
      </c>
      <c r="B47" s="2" t="inlineStr">
        <is>
          <t>Arizona State University</t>
        </is>
      </c>
      <c r="C47" s="3">
        <f>HYPERLINK("https://search.asu.edu/profile/jdwilbu1", "https://search.asu.edu/profile/jdwilbu1")</f>
        <v/>
      </c>
      <c r="D47" s="3">
        <f>HYPERLINK("https://scholar.google.com/citations?view_op=search_authors&amp;mauthors=Joshua%20Wilbur%20Arizona%20State%20University", "Google Scholar Search")</f>
        <v/>
      </c>
      <c r="E47" s="2" t="inlineStr">
        <is>
          <t>Associate Teaching Professor</t>
        </is>
      </c>
      <c r="F47" s="2" t="inlineStr">
        <is>
          <t>Aerospace &amp; Mechanical Engineering</t>
        </is>
      </c>
      <c r="G47" s="2" t="inlineStr"/>
      <c r="H47" s="3">
        <f>HYPERLINK("mailto:Joshua.Wilbur@asu.edu", "Joshua.Wilbur@asu.edu")</f>
        <v/>
      </c>
      <c r="I47" s="2" t="n">
        <v>0</v>
      </c>
      <c r="J47" s="2" t="inlineStr"/>
      <c r="K47" s="2" t="inlineStr"/>
      <c r="L47" s="2" t="inlineStr">
        <is>
          <t>"Effect of Embedment Depth of Hard Inclusions on Force-Displacement Curves through AFM and FEA" (2025) | "Deconvolution of Atomic Force Microscopy Data from the Effects of Destructive Indentation in Heterogeneous Polymer Composite Systems" (2025)</t>
        </is>
      </c>
      <c r="M47" s="2" t="inlineStr">
        <is>
          <t>"Pyroelectric energy conversion with large energy and power density in relaxor ferroelectric thin films" [Nature Materials] (2018, 283 cites) | "Extreme Two‐Phase Cooling from Laser‐Etched Diamond and Conformal, Template‐Fabricated Microporous Copper" [Advanced Functional Materials] (2017, 140 cites) | "New approach to waste-heat energy harvesting: pyroelectric energy conversion" [NPG Asia Materials] (2019, 110 cites)</t>
        </is>
      </c>
      <c r="N47" s="2" t="inlineStr">
        <is>
          <t>MAE 241: Intro to Thermodynamics | MAE 215: Intro to Programming in MATLAB | MAE 384: Adv Math Methods for Engineers</t>
        </is>
      </c>
      <c r="O47" s="2" t="inlineStr"/>
      <c r="P47" s="2" t="inlineStr"/>
      <c r="Q47" s="2" t="inlineStr">
        <is>
          <t>Ferroelectric and Piezoelectric Materials, Multiferroics and related materials, Heat Transfer and Boiling Studies, Smart Grid Security and Resilience, Force Microscopy Techniques and Applications</t>
        </is>
      </c>
      <c r="R47" s="2" t="inlineStr"/>
      <c r="S47" s="2" t="inlineStr"/>
      <c r="T47" s="2" t="inlineStr"/>
      <c r="U47" s="2" t="inlineStr"/>
      <c r="V47" s="2" t="inlineStr"/>
      <c r="W47" s="2" t="inlineStr"/>
      <c r="X47" s="2" t="inlineStr"/>
      <c r="Y47" s="2" t="inlineStr"/>
      <c r="Z47" s="2" t="inlineStr"/>
      <c r="AA47" s="2" t="inlineStr"/>
      <c r="AB47" s="2" t="inlineStr"/>
      <c r="AC47" s="2" t="inlineStr"/>
      <c r="AD47" s="2" t="inlineStr">
        <is>
          <t>Campus: Tempe</t>
        </is>
      </c>
      <c r="AE47" s="2" t="b">
        <v>0</v>
      </c>
      <c r="AF47" s="3">
        <f>HYPERLINK("https://faculty.engineering.asu.edu/directory/semte/aerospace-and-mechanical-engineering/", "https://faculty.engineering.asu.edu/directory/semte/aerospace-and-mechanical-engineering/")</f>
        <v/>
      </c>
    </row>
    <row r="48">
      <c r="A48" s="2" t="inlineStr">
        <is>
          <t>Ricardo Cruz Lozano</t>
        </is>
      </c>
      <c r="B48" s="2" t="inlineStr">
        <is>
          <t>Arizona State University</t>
        </is>
      </c>
      <c r="C48" s="3">
        <f>HYPERLINK("https://search.asu.edu/profile/rcruzloz", "https://search.asu.edu/profile/rcruzloz")</f>
        <v/>
      </c>
      <c r="D48" s="3">
        <f>HYPERLINK("https://scholar.google.com/citations?view_op=search_authors&amp;mauthors=Ricardo%20Cruz%20Lozano%20Arizona%20State%20University", "Google Scholar Search")</f>
        <v/>
      </c>
      <c r="E48" s="2" t="inlineStr">
        <is>
          <t>Assistant Teaching Professor</t>
        </is>
      </c>
      <c r="F48" s="2" t="inlineStr">
        <is>
          <t>Aerospace &amp; Mechanical Engineering</t>
        </is>
      </c>
      <c r="G48" s="2" t="inlineStr"/>
      <c r="H48" s="3">
        <f>HYPERLINK("mailto:Ricardo.Cruz.Lozano@asu.edu", "Ricardo.Cruz.Lozano@asu.edu")</f>
        <v/>
      </c>
      <c r="I48" s="2" t="n">
        <v>0</v>
      </c>
      <c r="J48" s="2" t="inlineStr"/>
      <c r="K48" s="2" t="inlineStr"/>
      <c r="L48" s="2" t="inlineStr"/>
      <c r="M48" s="2" t="inlineStr"/>
      <c r="N48" s="2" t="inlineStr">
        <is>
          <t>MAE 201: Mech. Particles/Rigid Bodies I | MAE 214: Computer-Aided Engineering I | MAE 202: Mech.Particles/Rigid Bodies II</t>
        </is>
      </c>
      <c r="O48" s="2" t="inlineStr"/>
      <c r="P48" s="2" t="inlineStr"/>
      <c r="Q48" s="2" t="inlineStr"/>
      <c r="R48" s="2" t="inlineStr"/>
      <c r="S48" s="2" t="inlineStr"/>
      <c r="T48" s="2" t="inlineStr"/>
      <c r="U48" s="2" t="inlineStr"/>
      <c r="V48" s="2" t="inlineStr"/>
      <c r="W48" s="2" t="inlineStr"/>
      <c r="X48" s="2" t="inlineStr"/>
      <c r="Y48" s="2" t="inlineStr"/>
      <c r="Z48" s="2" t="inlineStr"/>
      <c r="AA48" s="2" t="inlineStr"/>
      <c r="AB48" s="2" t="inlineStr"/>
      <c r="AC48" s="2" t="inlineStr"/>
      <c r="AD48" s="2" t="inlineStr">
        <is>
          <t>Campus: Tempe</t>
        </is>
      </c>
      <c r="AE48" s="2" t="b">
        <v>0</v>
      </c>
      <c r="AF48" s="3">
        <f>HYPERLINK("https://faculty.engineering.asu.edu/directory/semte/aerospace-and-mechanical-engineering/", "https://faculty.engineering.asu.edu/directory/semte/aerospace-and-mechanical-engineering/")</f>
        <v/>
      </c>
    </row>
    <row r="49">
      <c r="A49" s="2" t="inlineStr">
        <is>
          <t>Srinivas Chakravarthi Kosaraju</t>
        </is>
      </c>
      <c r="B49" s="2" t="inlineStr">
        <is>
          <t>Arizona State University</t>
        </is>
      </c>
      <c r="C49" s="3">
        <f>HYPERLINK("https://search.asu.edu/profile/skosara2", "https://search.asu.edu/profile/skosara2")</f>
        <v/>
      </c>
      <c r="D49" s="3">
        <f>HYPERLINK("https://scholar.google.com/citations?view_op=search_authors&amp;mauthors=Srinivas%20Chakravarthi%20Kosaraju%20Arizona%20State%20University", "Google Scholar Search")</f>
        <v/>
      </c>
      <c r="E49" s="2" t="inlineStr">
        <is>
          <t>Teaching Professor</t>
        </is>
      </c>
      <c r="F49" s="2" t="inlineStr">
        <is>
          <t>Aerospace &amp; Mechanical Engineering</t>
        </is>
      </c>
      <c r="G49" s="2" t="inlineStr"/>
      <c r="H49" s="3">
        <f>HYPERLINK("mailto:Srinivas.Kosaraju@asu.edu", "Srinivas.Kosaraju@asu.edu")</f>
        <v/>
      </c>
      <c r="I49" s="2" t="n">
        <v>0</v>
      </c>
      <c r="J49" s="2" t="inlineStr"/>
      <c r="K49" s="2" t="inlineStr"/>
      <c r="L49" s="2" t="inlineStr"/>
      <c r="M49" s="2" t="inlineStr"/>
      <c r="N49" s="2" t="inlineStr">
        <is>
          <t>MAE 570: Intermediate Thermodynamics | MAE 400: Engineering Profession | MAE 494: Special Topics</t>
        </is>
      </c>
      <c r="O49" s="2" t="inlineStr"/>
      <c r="P49" s="2" t="inlineStr"/>
      <c r="Q49" s="2" t="inlineStr"/>
      <c r="R49" s="2" t="inlineStr"/>
      <c r="S49" s="2" t="inlineStr"/>
      <c r="T49" s="2" t="inlineStr"/>
      <c r="U49" s="2" t="inlineStr"/>
      <c r="V49" s="2" t="inlineStr"/>
      <c r="W49" s="2" t="inlineStr"/>
      <c r="X49" s="2" t="inlineStr"/>
      <c r="Y49" s="2" t="inlineStr"/>
      <c r="Z49" s="2" t="inlineStr"/>
      <c r="AA49" s="2" t="inlineStr"/>
      <c r="AB49" s="2" t="inlineStr"/>
      <c r="AC49" s="2" t="inlineStr"/>
      <c r="AD49" s="2" t="inlineStr">
        <is>
          <t>Campus: Tempe</t>
        </is>
      </c>
      <c r="AE49" s="2" t="b">
        <v>0</v>
      </c>
      <c r="AF49"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W2" r:id="rId4"/>
    <hyperlink xmlns:r="http://schemas.openxmlformats.org/officeDocument/2006/relationships" ref="AB2" r:id="rId5"/>
    <hyperlink xmlns:r="http://schemas.openxmlformats.org/officeDocument/2006/relationships" ref="AF2" r:id="rId6"/>
    <hyperlink xmlns:r="http://schemas.openxmlformats.org/officeDocument/2006/relationships" ref="C3" r:id="rId7"/>
    <hyperlink xmlns:r="http://schemas.openxmlformats.org/officeDocument/2006/relationships" ref="D3" r:id="rId8"/>
    <hyperlink xmlns:r="http://schemas.openxmlformats.org/officeDocument/2006/relationships" ref="H3" r:id="rId9"/>
    <hyperlink xmlns:r="http://schemas.openxmlformats.org/officeDocument/2006/relationships" ref="W3" r:id="rId10"/>
    <hyperlink xmlns:r="http://schemas.openxmlformats.org/officeDocument/2006/relationships" ref="AF3" r:id="rId11"/>
    <hyperlink xmlns:r="http://schemas.openxmlformats.org/officeDocument/2006/relationships" ref="C4" r:id="rId12"/>
    <hyperlink xmlns:r="http://schemas.openxmlformats.org/officeDocument/2006/relationships" ref="D4" r:id="rId13"/>
    <hyperlink xmlns:r="http://schemas.openxmlformats.org/officeDocument/2006/relationships" ref="H4" r:id="rId14"/>
    <hyperlink xmlns:r="http://schemas.openxmlformats.org/officeDocument/2006/relationships" ref="W4" r:id="rId15"/>
    <hyperlink xmlns:r="http://schemas.openxmlformats.org/officeDocument/2006/relationships" ref="AF4" r:id="rId16"/>
    <hyperlink xmlns:r="http://schemas.openxmlformats.org/officeDocument/2006/relationships" ref="C5" r:id="rId17"/>
    <hyperlink xmlns:r="http://schemas.openxmlformats.org/officeDocument/2006/relationships" ref="D5" r:id="rId18"/>
    <hyperlink xmlns:r="http://schemas.openxmlformats.org/officeDocument/2006/relationships" ref="H5" r:id="rId19"/>
    <hyperlink xmlns:r="http://schemas.openxmlformats.org/officeDocument/2006/relationships" ref="W5" r:id="rId20"/>
    <hyperlink xmlns:r="http://schemas.openxmlformats.org/officeDocument/2006/relationships" ref="AF5" r:id="rId21"/>
    <hyperlink xmlns:r="http://schemas.openxmlformats.org/officeDocument/2006/relationships" ref="C6" r:id="rId22"/>
    <hyperlink xmlns:r="http://schemas.openxmlformats.org/officeDocument/2006/relationships" ref="D6" r:id="rId23"/>
    <hyperlink xmlns:r="http://schemas.openxmlformats.org/officeDocument/2006/relationships" ref="H6" r:id="rId24"/>
    <hyperlink xmlns:r="http://schemas.openxmlformats.org/officeDocument/2006/relationships" ref="AF6" r:id="rId25"/>
    <hyperlink xmlns:r="http://schemas.openxmlformats.org/officeDocument/2006/relationships" ref="C7" r:id="rId26"/>
    <hyperlink xmlns:r="http://schemas.openxmlformats.org/officeDocument/2006/relationships" ref="D7" r:id="rId27"/>
    <hyperlink xmlns:r="http://schemas.openxmlformats.org/officeDocument/2006/relationships" ref="H7" r:id="rId28"/>
    <hyperlink xmlns:r="http://schemas.openxmlformats.org/officeDocument/2006/relationships" ref="AF7" r:id="rId29"/>
    <hyperlink xmlns:r="http://schemas.openxmlformats.org/officeDocument/2006/relationships" ref="C8" r:id="rId30"/>
    <hyperlink xmlns:r="http://schemas.openxmlformats.org/officeDocument/2006/relationships" ref="D8" r:id="rId31"/>
    <hyperlink xmlns:r="http://schemas.openxmlformats.org/officeDocument/2006/relationships" ref="H8" r:id="rId32"/>
    <hyperlink xmlns:r="http://schemas.openxmlformats.org/officeDocument/2006/relationships" ref="W8" r:id="rId33"/>
    <hyperlink xmlns:r="http://schemas.openxmlformats.org/officeDocument/2006/relationships" ref="AF8" r:id="rId34"/>
    <hyperlink xmlns:r="http://schemas.openxmlformats.org/officeDocument/2006/relationships" ref="C9" r:id="rId35"/>
    <hyperlink xmlns:r="http://schemas.openxmlformats.org/officeDocument/2006/relationships" ref="D9" r:id="rId36"/>
    <hyperlink xmlns:r="http://schemas.openxmlformats.org/officeDocument/2006/relationships" ref="H9" r:id="rId37"/>
    <hyperlink xmlns:r="http://schemas.openxmlformats.org/officeDocument/2006/relationships" ref="W9" r:id="rId38"/>
    <hyperlink xmlns:r="http://schemas.openxmlformats.org/officeDocument/2006/relationships" ref="AF9" r:id="rId39"/>
    <hyperlink xmlns:r="http://schemas.openxmlformats.org/officeDocument/2006/relationships" ref="C10" r:id="rId40"/>
    <hyperlink xmlns:r="http://schemas.openxmlformats.org/officeDocument/2006/relationships" ref="D10" r:id="rId41"/>
    <hyperlink xmlns:r="http://schemas.openxmlformats.org/officeDocument/2006/relationships" ref="H10" r:id="rId42"/>
    <hyperlink xmlns:r="http://schemas.openxmlformats.org/officeDocument/2006/relationships" ref="W10" r:id="rId43"/>
    <hyperlink xmlns:r="http://schemas.openxmlformats.org/officeDocument/2006/relationships" ref="AF10" r:id="rId44"/>
    <hyperlink xmlns:r="http://schemas.openxmlformats.org/officeDocument/2006/relationships" ref="C11" r:id="rId45"/>
    <hyperlink xmlns:r="http://schemas.openxmlformats.org/officeDocument/2006/relationships" ref="D11" r:id="rId46"/>
    <hyperlink xmlns:r="http://schemas.openxmlformats.org/officeDocument/2006/relationships" ref="H11" r:id="rId47"/>
    <hyperlink xmlns:r="http://schemas.openxmlformats.org/officeDocument/2006/relationships" ref="AF11" r:id="rId48"/>
    <hyperlink xmlns:r="http://schemas.openxmlformats.org/officeDocument/2006/relationships" ref="C12" r:id="rId49"/>
    <hyperlink xmlns:r="http://schemas.openxmlformats.org/officeDocument/2006/relationships" ref="D12" r:id="rId50"/>
    <hyperlink xmlns:r="http://schemas.openxmlformats.org/officeDocument/2006/relationships" ref="H12" r:id="rId51"/>
    <hyperlink xmlns:r="http://schemas.openxmlformats.org/officeDocument/2006/relationships" ref="W12" r:id="rId52"/>
    <hyperlink xmlns:r="http://schemas.openxmlformats.org/officeDocument/2006/relationships" ref="AF12" r:id="rId53"/>
    <hyperlink xmlns:r="http://schemas.openxmlformats.org/officeDocument/2006/relationships" ref="C13" r:id="rId54"/>
    <hyperlink xmlns:r="http://schemas.openxmlformats.org/officeDocument/2006/relationships" ref="D13" r:id="rId55"/>
    <hyperlink xmlns:r="http://schemas.openxmlformats.org/officeDocument/2006/relationships" ref="H13" r:id="rId56"/>
    <hyperlink xmlns:r="http://schemas.openxmlformats.org/officeDocument/2006/relationships" ref="W13" r:id="rId57"/>
    <hyperlink xmlns:r="http://schemas.openxmlformats.org/officeDocument/2006/relationships" ref="AF13" r:id="rId58"/>
    <hyperlink xmlns:r="http://schemas.openxmlformats.org/officeDocument/2006/relationships" ref="C14" r:id="rId59"/>
    <hyperlink xmlns:r="http://schemas.openxmlformats.org/officeDocument/2006/relationships" ref="D14" r:id="rId60"/>
    <hyperlink xmlns:r="http://schemas.openxmlformats.org/officeDocument/2006/relationships" ref="H14" r:id="rId61"/>
    <hyperlink xmlns:r="http://schemas.openxmlformats.org/officeDocument/2006/relationships" ref="AF14" r:id="rId62"/>
    <hyperlink xmlns:r="http://schemas.openxmlformats.org/officeDocument/2006/relationships" ref="C15" r:id="rId63"/>
    <hyperlink xmlns:r="http://schemas.openxmlformats.org/officeDocument/2006/relationships" ref="D15" r:id="rId64"/>
    <hyperlink xmlns:r="http://schemas.openxmlformats.org/officeDocument/2006/relationships" ref="H15" r:id="rId65"/>
    <hyperlink xmlns:r="http://schemas.openxmlformats.org/officeDocument/2006/relationships" ref="W15" r:id="rId66"/>
    <hyperlink xmlns:r="http://schemas.openxmlformats.org/officeDocument/2006/relationships" ref="AF15" r:id="rId67"/>
    <hyperlink xmlns:r="http://schemas.openxmlformats.org/officeDocument/2006/relationships" ref="C16" r:id="rId68"/>
    <hyperlink xmlns:r="http://schemas.openxmlformats.org/officeDocument/2006/relationships" ref="D16" r:id="rId69"/>
    <hyperlink xmlns:r="http://schemas.openxmlformats.org/officeDocument/2006/relationships" ref="H16" r:id="rId70"/>
    <hyperlink xmlns:r="http://schemas.openxmlformats.org/officeDocument/2006/relationships" ref="W16" r:id="rId71"/>
    <hyperlink xmlns:r="http://schemas.openxmlformats.org/officeDocument/2006/relationships" ref="AF16" r:id="rId72"/>
    <hyperlink xmlns:r="http://schemas.openxmlformats.org/officeDocument/2006/relationships" ref="C17" r:id="rId73"/>
    <hyperlink xmlns:r="http://schemas.openxmlformats.org/officeDocument/2006/relationships" ref="D17" r:id="rId74"/>
    <hyperlink xmlns:r="http://schemas.openxmlformats.org/officeDocument/2006/relationships" ref="H17" r:id="rId75"/>
    <hyperlink xmlns:r="http://schemas.openxmlformats.org/officeDocument/2006/relationships" ref="W17" r:id="rId76"/>
    <hyperlink xmlns:r="http://schemas.openxmlformats.org/officeDocument/2006/relationships" ref="AF17" r:id="rId77"/>
    <hyperlink xmlns:r="http://schemas.openxmlformats.org/officeDocument/2006/relationships" ref="C18" r:id="rId78"/>
    <hyperlink xmlns:r="http://schemas.openxmlformats.org/officeDocument/2006/relationships" ref="D18" r:id="rId79"/>
    <hyperlink xmlns:r="http://schemas.openxmlformats.org/officeDocument/2006/relationships" ref="H18" r:id="rId80"/>
    <hyperlink xmlns:r="http://schemas.openxmlformats.org/officeDocument/2006/relationships" ref="AF18" r:id="rId81"/>
    <hyperlink xmlns:r="http://schemas.openxmlformats.org/officeDocument/2006/relationships" ref="C19" r:id="rId82"/>
    <hyperlink xmlns:r="http://schemas.openxmlformats.org/officeDocument/2006/relationships" ref="D19" r:id="rId83"/>
    <hyperlink xmlns:r="http://schemas.openxmlformats.org/officeDocument/2006/relationships" ref="H19" r:id="rId84"/>
    <hyperlink xmlns:r="http://schemas.openxmlformats.org/officeDocument/2006/relationships" ref="AF19" r:id="rId85"/>
    <hyperlink xmlns:r="http://schemas.openxmlformats.org/officeDocument/2006/relationships" ref="C20" r:id="rId86"/>
    <hyperlink xmlns:r="http://schemas.openxmlformats.org/officeDocument/2006/relationships" ref="D20" r:id="rId87"/>
    <hyperlink xmlns:r="http://schemas.openxmlformats.org/officeDocument/2006/relationships" ref="H20" r:id="rId88"/>
    <hyperlink xmlns:r="http://schemas.openxmlformats.org/officeDocument/2006/relationships" ref="AF20" r:id="rId89"/>
    <hyperlink xmlns:r="http://schemas.openxmlformats.org/officeDocument/2006/relationships" ref="C21" r:id="rId90"/>
    <hyperlink xmlns:r="http://schemas.openxmlformats.org/officeDocument/2006/relationships" ref="D21" r:id="rId91"/>
    <hyperlink xmlns:r="http://schemas.openxmlformats.org/officeDocument/2006/relationships" ref="H21" r:id="rId92"/>
    <hyperlink xmlns:r="http://schemas.openxmlformats.org/officeDocument/2006/relationships" ref="AF21" r:id="rId93"/>
    <hyperlink xmlns:r="http://schemas.openxmlformats.org/officeDocument/2006/relationships" ref="C22" r:id="rId94"/>
    <hyperlink xmlns:r="http://schemas.openxmlformats.org/officeDocument/2006/relationships" ref="D22" r:id="rId95"/>
    <hyperlink xmlns:r="http://schemas.openxmlformats.org/officeDocument/2006/relationships" ref="H22" r:id="rId96"/>
    <hyperlink xmlns:r="http://schemas.openxmlformats.org/officeDocument/2006/relationships" ref="W22" r:id="rId97"/>
    <hyperlink xmlns:r="http://schemas.openxmlformats.org/officeDocument/2006/relationships" ref="AF22" r:id="rId98"/>
    <hyperlink xmlns:r="http://schemas.openxmlformats.org/officeDocument/2006/relationships" ref="C23" r:id="rId99"/>
    <hyperlink xmlns:r="http://schemas.openxmlformats.org/officeDocument/2006/relationships" ref="D23" r:id="rId100"/>
    <hyperlink xmlns:r="http://schemas.openxmlformats.org/officeDocument/2006/relationships" ref="H23" r:id="rId101"/>
    <hyperlink xmlns:r="http://schemas.openxmlformats.org/officeDocument/2006/relationships" ref="W23" r:id="rId102"/>
    <hyperlink xmlns:r="http://schemas.openxmlformats.org/officeDocument/2006/relationships" ref="AF23" r:id="rId103"/>
    <hyperlink xmlns:r="http://schemas.openxmlformats.org/officeDocument/2006/relationships" ref="C24" r:id="rId104"/>
    <hyperlink xmlns:r="http://schemas.openxmlformats.org/officeDocument/2006/relationships" ref="D24" r:id="rId105"/>
    <hyperlink xmlns:r="http://schemas.openxmlformats.org/officeDocument/2006/relationships" ref="H24" r:id="rId106"/>
    <hyperlink xmlns:r="http://schemas.openxmlformats.org/officeDocument/2006/relationships" ref="W24" r:id="rId107"/>
    <hyperlink xmlns:r="http://schemas.openxmlformats.org/officeDocument/2006/relationships" ref="AF24" r:id="rId108"/>
    <hyperlink xmlns:r="http://schemas.openxmlformats.org/officeDocument/2006/relationships" ref="C25" r:id="rId109"/>
    <hyperlink xmlns:r="http://schemas.openxmlformats.org/officeDocument/2006/relationships" ref="D25" r:id="rId110"/>
    <hyperlink xmlns:r="http://schemas.openxmlformats.org/officeDocument/2006/relationships" ref="H25" r:id="rId111"/>
    <hyperlink xmlns:r="http://schemas.openxmlformats.org/officeDocument/2006/relationships" ref="W25" r:id="rId112"/>
    <hyperlink xmlns:r="http://schemas.openxmlformats.org/officeDocument/2006/relationships" ref="AF25" r:id="rId113"/>
    <hyperlink xmlns:r="http://schemas.openxmlformats.org/officeDocument/2006/relationships" ref="C26" r:id="rId114"/>
    <hyperlink xmlns:r="http://schemas.openxmlformats.org/officeDocument/2006/relationships" ref="D26" r:id="rId115"/>
    <hyperlink xmlns:r="http://schemas.openxmlformats.org/officeDocument/2006/relationships" ref="H26" r:id="rId116"/>
    <hyperlink xmlns:r="http://schemas.openxmlformats.org/officeDocument/2006/relationships" ref="AF26" r:id="rId117"/>
    <hyperlink xmlns:r="http://schemas.openxmlformats.org/officeDocument/2006/relationships" ref="C27" r:id="rId118"/>
    <hyperlink xmlns:r="http://schemas.openxmlformats.org/officeDocument/2006/relationships" ref="D27" r:id="rId119"/>
    <hyperlink xmlns:r="http://schemas.openxmlformats.org/officeDocument/2006/relationships" ref="H27" r:id="rId120"/>
    <hyperlink xmlns:r="http://schemas.openxmlformats.org/officeDocument/2006/relationships" ref="W27" r:id="rId121"/>
    <hyperlink xmlns:r="http://schemas.openxmlformats.org/officeDocument/2006/relationships" ref="AF27" r:id="rId122"/>
    <hyperlink xmlns:r="http://schemas.openxmlformats.org/officeDocument/2006/relationships" ref="C28" r:id="rId123"/>
    <hyperlink xmlns:r="http://schemas.openxmlformats.org/officeDocument/2006/relationships" ref="D28" r:id="rId124"/>
    <hyperlink xmlns:r="http://schemas.openxmlformats.org/officeDocument/2006/relationships" ref="H28" r:id="rId125"/>
    <hyperlink xmlns:r="http://schemas.openxmlformats.org/officeDocument/2006/relationships" ref="AF28" r:id="rId126"/>
    <hyperlink xmlns:r="http://schemas.openxmlformats.org/officeDocument/2006/relationships" ref="C29" r:id="rId127"/>
    <hyperlink xmlns:r="http://schemas.openxmlformats.org/officeDocument/2006/relationships" ref="D29" r:id="rId128"/>
    <hyperlink xmlns:r="http://schemas.openxmlformats.org/officeDocument/2006/relationships" ref="H29" r:id="rId129"/>
    <hyperlink xmlns:r="http://schemas.openxmlformats.org/officeDocument/2006/relationships" ref="W29" r:id="rId130"/>
    <hyperlink xmlns:r="http://schemas.openxmlformats.org/officeDocument/2006/relationships" ref="AF29" r:id="rId131"/>
    <hyperlink xmlns:r="http://schemas.openxmlformats.org/officeDocument/2006/relationships" ref="C30" r:id="rId132"/>
    <hyperlink xmlns:r="http://schemas.openxmlformats.org/officeDocument/2006/relationships" ref="D30" r:id="rId133"/>
    <hyperlink xmlns:r="http://schemas.openxmlformats.org/officeDocument/2006/relationships" ref="H30" r:id="rId134"/>
    <hyperlink xmlns:r="http://schemas.openxmlformats.org/officeDocument/2006/relationships" ref="W30" r:id="rId135"/>
    <hyperlink xmlns:r="http://schemas.openxmlformats.org/officeDocument/2006/relationships" ref="AF30" r:id="rId136"/>
    <hyperlink xmlns:r="http://schemas.openxmlformats.org/officeDocument/2006/relationships" ref="C31" r:id="rId137"/>
    <hyperlink xmlns:r="http://schemas.openxmlformats.org/officeDocument/2006/relationships" ref="D31" r:id="rId138"/>
    <hyperlink xmlns:r="http://schemas.openxmlformats.org/officeDocument/2006/relationships" ref="H31" r:id="rId139"/>
    <hyperlink xmlns:r="http://schemas.openxmlformats.org/officeDocument/2006/relationships" ref="W31" r:id="rId140"/>
    <hyperlink xmlns:r="http://schemas.openxmlformats.org/officeDocument/2006/relationships" ref="AF31" r:id="rId141"/>
    <hyperlink xmlns:r="http://schemas.openxmlformats.org/officeDocument/2006/relationships" ref="C32" r:id="rId142"/>
    <hyperlink xmlns:r="http://schemas.openxmlformats.org/officeDocument/2006/relationships" ref="D32" r:id="rId143"/>
    <hyperlink xmlns:r="http://schemas.openxmlformats.org/officeDocument/2006/relationships" ref="H32" r:id="rId144"/>
    <hyperlink xmlns:r="http://schemas.openxmlformats.org/officeDocument/2006/relationships" ref="AF32" r:id="rId145"/>
    <hyperlink xmlns:r="http://schemas.openxmlformats.org/officeDocument/2006/relationships" ref="C33" r:id="rId146"/>
    <hyperlink xmlns:r="http://schemas.openxmlformats.org/officeDocument/2006/relationships" ref="D33" r:id="rId147"/>
    <hyperlink xmlns:r="http://schemas.openxmlformats.org/officeDocument/2006/relationships" ref="H33" r:id="rId148"/>
    <hyperlink xmlns:r="http://schemas.openxmlformats.org/officeDocument/2006/relationships" ref="W33" r:id="rId149"/>
    <hyperlink xmlns:r="http://schemas.openxmlformats.org/officeDocument/2006/relationships" ref="AF33" r:id="rId150"/>
    <hyperlink xmlns:r="http://schemas.openxmlformats.org/officeDocument/2006/relationships" ref="C34" r:id="rId151"/>
    <hyperlink xmlns:r="http://schemas.openxmlformats.org/officeDocument/2006/relationships" ref="D34" r:id="rId152"/>
    <hyperlink xmlns:r="http://schemas.openxmlformats.org/officeDocument/2006/relationships" ref="H34" r:id="rId153"/>
    <hyperlink xmlns:r="http://schemas.openxmlformats.org/officeDocument/2006/relationships" ref="W34" r:id="rId154"/>
    <hyperlink xmlns:r="http://schemas.openxmlformats.org/officeDocument/2006/relationships" ref="AF34" r:id="rId155"/>
    <hyperlink xmlns:r="http://schemas.openxmlformats.org/officeDocument/2006/relationships" ref="C35" r:id="rId156"/>
    <hyperlink xmlns:r="http://schemas.openxmlformats.org/officeDocument/2006/relationships" ref="D35" r:id="rId157"/>
    <hyperlink xmlns:r="http://schemas.openxmlformats.org/officeDocument/2006/relationships" ref="H35" r:id="rId158"/>
    <hyperlink xmlns:r="http://schemas.openxmlformats.org/officeDocument/2006/relationships" ref="W35" r:id="rId159"/>
    <hyperlink xmlns:r="http://schemas.openxmlformats.org/officeDocument/2006/relationships" ref="AB35" r:id="rId160"/>
    <hyperlink xmlns:r="http://schemas.openxmlformats.org/officeDocument/2006/relationships" ref="AF35" r:id="rId161"/>
    <hyperlink xmlns:r="http://schemas.openxmlformats.org/officeDocument/2006/relationships" ref="C36" r:id="rId162"/>
    <hyperlink xmlns:r="http://schemas.openxmlformats.org/officeDocument/2006/relationships" ref="D36" r:id="rId163"/>
    <hyperlink xmlns:r="http://schemas.openxmlformats.org/officeDocument/2006/relationships" ref="H36" r:id="rId164"/>
    <hyperlink xmlns:r="http://schemas.openxmlformats.org/officeDocument/2006/relationships" ref="AF36" r:id="rId165"/>
    <hyperlink xmlns:r="http://schemas.openxmlformats.org/officeDocument/2006/relationships" ref="C37" r:id="rId166"/>
    <hyperlink xmlns:r="http://schemas.openxmlformats.org/officeDocument/2006/relationships" ref="D37" r:id="rId167"/>
    <hyperlink xmlns:r="http://schemas.openxmlformats.org/officeDocument/2006/relationships" ref="H37" r:id="rId168"/>
    <hyperlink xmlns:r="http://schemas.openxmlformats.org/officeDocument/2006/relationships" ref="W37" r:id="rId169"/>
    <hyperlink xmlns:r="http://schemas.openxmlformats.org/officeDocument/2006/relationships" ref="AF37" r:id="rId170"/>
    <hyperlink xmlns:r="http://schemas.openxmlformats.org/officeDocument/2006/relationships" ref="C38" r:id="rId171"/>
    <hyperlink xmlns:r="http://schemas.openxmlformats.org/officeDocument/2006/relationships" ref="D38" r:id="rId172"/>
    <hyperlink xmlns:r="http://schemas.openxmlformats.org/officeDocument/2006/relationships" ref="H38" r:id="rId173"/>
    <hyperlink xmlns:r="http://schemas.openxmlformats.org/officeDocument/2006/relationships" ref="AF38" r:id="rId174"/>
    <hyperlink xmlns:r="http://schemas.openxmlformats.org/officeDocument/2006/relationships" ref="C39" r:id="rId175"/>
    <hyperlink xmlns:r="http://schemas.openxmlformats.org/officeDocument/2006/relationships" ref="D39" r:id="rId176"/>
    <hyperlink xmlns:r="http://schemas.openxmlformats.org/officeDocument/2006/relationships" ref="H39" r:id="rId177"/>
    <hyperlink xmlns:r="http://schemas.openxmlformats.org/officeDocument/2006/relationships" ref="AF39" r:id="rId178"/>
    <hyperlink xmlns:r="http://schemas.openxmlformats.org/officeDocument/2006/relationships" ref="C40" r:id="rId179"/>
    <hyperlink xmlns:r="http://schemas.openxmlformats.org/officeDocument/2006/relationships" ref="D40" r:id="rId180"/>
    <hyperlink xmlns:r="http://schemas.openxmlformats.org/officeDocument/2006/relationships" ref="H40" r:id="rId181"/>
    <hyperlink xmlns:r="http://schemas.openxmlformats.org/officeDocument/2006/relationships" ref="AF40" r:id="rId182"/>
    <hyperlink xmlns:r="http://schemas.openxmlformats.org/officeDocument/2006/relationships" ref="C41" r:id="rId183"/>
    <hyperlink xmlns:r="http://schemas.openxmlformats.org/officeDocument/2006/relationships" ref="D41" r:id="rId184"/>
    <hyperlink xmlns:r="http://schemas.openxmlformats.org/officeDocument/2006/relationships" ref="H41" r:id="rId185"/>
    <hyperlink xmlns:r="http://schemas.openxmlformats.org/officeDocument/2006/relationships" ref="W41" r:id="rId186"/>
    <hyperlink xmlns:r="http://schemas.openxmlformats.org/officeDocument/2006/relationships" ref="AF41" r:id="rId187"/>
    <hyperlink xmlns:r="http://schemas.openxmlformats.org/officeDocument/2006/relationships" ref="C42" r:id="rId188"/>
    <hyperlink xmlns:r="http://schemas.openxmlformats.org/officeDocument/2006/relationships" ref="D42" r:id="rId189"/>
    <hyperlink xmlns:r="http://schemas.openxmlformats.org/officeDocument/2006/relationships" ref="H42" r:id="rId190"/>
    <hyperlink xmlns:r="http://schemas.openxmlformats.org/officeDocument/2006/relationships" ref="W42" r:id="rId191"/>
    <hyperlink xmlns:r="http://schemas.openxmlformats.org/officeDocument/2006/relationships" ref="AF42" r:id="rId192"/>
    <hyperlink xmlns:r="http://schemas.openxmlformats.org/officeDocument/2006/relationships" ref="C43" r:id="rId193"/>
    <hyperlink xmlns:r="http://schemas.openxmlformats.org/officeDocument/2006/relationships" ref="D43" r:id="rId194"/>
    <hyperlink xmlns:r="http://schemas.openxmlformats.org/officeDocument/2006/relationships" ref="H43" r:id="rId195"/>
    <hyperlink xmlns:r="http://schemas.openxmlformats.org/officeDocument/2006/relationships" ref="AF43" r:id="rId196"/>
    <hyperlink xmlns:r="http://schemas.openxmlformats.org/officeDocument/2006/relationships" ref="C44" r:id="rId197"/>
    <hyperlink xmlns:r="http://schemas.openxmlformats.org/officeDocument/2006/relationships" ref="D44" r:id="rId198"/>
    <hyperlink xmlns:r="http://schemas.openxmlformats.org/officeDocument/2006/relationships" ref="H44" r:id="rId199"/>
    <hyperlink xmlns:r="http://schemas.openxmlformats.org/officeDocument/2006/relationships" ref="AF44" r:id="rId200"/>
    <hyperlink xmlns:r="http://schemas.openxmlformats.org/officeDocument/2006/relationships" ref="C45" r:id="rId201"/>
    <hyperlink xmlns:r="http://schemas.openxmlformats.org/officeDocument/2006/relationships" ref="D45" r:id="rId202"/>
    <hyperlink xmlns:r="http://schemas.openxmlformats.org/officeDocument/2006/relationships" ref="H45" r:id="rId203"/>
    <hyperlink xmlns:r="http://schemas.openxmlformats.org/officeDocument/2006/relationships" ref="AF45" r:id="rId204"/>
    <hyperlink xmlns:r="http://schemas.openxmlformats.org/officeDocument/2006/relationships" ref="C46" r:id="rId205"/>
    <hyperlink xmlns:r="http://schemas.openxmlformats.org/officeDocument/2006/relationships" ref="D46" r:id="rId206"/>
    <hyperlink xmlns:r="http://schemas.openxmlformats.org/officeDocument/2006/relationships" ref="H46" r:id="rId207"/>
    <hyperlink xmlns:r="http://schemas.openxmlformats.org/officeDocument/2006/relationships" ref="AF46" r:id="rId208"/>
    <hyperlink xmlns:r="http://schemas.openxmlformats.org/officeDocument/2006/relationships" ref="C47" r:id="rId209"/>
    <hyperlink xmlns:r="http://schemas.openxmlformats.org/officeDocument/2006/relationships" ref="D47" r:id="rId210"/>
    <hyperlink xmlns:r="http://schemas.openxmlformats.org/officeDocument/2006/relationships" ref="H47" r:id="rId211"/>
    <hyperlink xmlns:r="http://schemas.openxmlformats.org/officeDocument/2006/relationships" ref="AF47" r:id="rId212"/>
    <hyperlink xmlns:r="http://schemas.openxmlformats.org/officeDocument/2006/relationships" ref="C48" r:id="rId213"/>
    <hyperlink xmlns:r="http://schemas.openxmlformats.org/officeDocument/2006/relationships" ref="D48" r:id="rId214"/>
    <hyperlink xmlns:r="http://schemas.openxmlformats.org/officeDocument/2006/relationships" ref="H48" r:id="rId215"/>
    <hyperlink xmlns:r="http://schemas.openxmlformats.org/officeDocument/2006/relationships" ref="AF48" r:id="rId216"/>
    <hyperlink xmlns:r="http://schemas.openxmlformats.org/officeDocument/2006/relationships" ref="C49" r:id="rId217"/>
    <hyperlink xmlns:r="http://schemas.openxmlformats.org/officeDocument/2006/relationships" ref="D49" r:id="rId218"/>
    <hyperlink xmlns:r="http://schemas.openxmlformats.org/officeDocument/2006/relationships" ref="H49" r:id="rId219"/>
    <hyperlink xmlns:r="http://schemas.openxmlformats.org/officeDocument/2006/relationships" ref="AF49" r:id="rId2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2026-09-18T14:15:28Z</dcterms:created>
  <dcterms:modified xmlns:dcterms="http://purl.org/dc/terms/" xmlns:xsi="http://www.w3.org/2001/XMLSchema-instance" xsi:type="dcterms:W3CDTF">2026-09-18T14:15:28Z</dcterms:modified>
</cp:coreProperties>
</file>