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ero Focus" sheetId="1" state="visible" r:id="rId1"/>
    <sheet xmlns:r="http://schemas.openxmlformats.org/officeDocument/2006/relationships" name="Field Matched" sheetId="2" state="visible" r:id="rId2"/>
    <sheet xmlns:r="http://schemas.openxmlformats.org/officeDocument/2006/relationships" name="All Faculty"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asuchen" TargetMode="External" Id="rId7"/><Relationship Type="http://schemas.openxmlformats.org/officeDocument/2006/relationships/hyperlink" Target="https://scholar.google.com/citations?hl=en&amp;user=xT-lX9sAAAAJ" TargetMode="External" Id="rId8"/><Relationship Type="http://schemas.openxmlformats.org/officeDocument/2006/relationships/hyperlink" Target="mailto:k.p.chen@asu.edu"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https://search.asu.edu/profile/kramesh2" TargetMode="External" Id="rId11"/><Relationship Type="http://schemas.openxmlformats.org/officeDocument/2006/relationships/hyperlink" Target="https://scholar.google.com/citations?hl=en&amp;user=DKc-AgcAAAAJ" TargetMode="External" Id="rId12"/><Relationship Type="http://schemas.openxmlformats.org/officeDocument/2006/relationships/hyperlink" Target="mailto:Kiran.Ramesh@asu.edu" TargetMode="External" Id="rId13"/><Relationship Type="http://schemas.openxmlformats.org/officeDocument/2006/relationships/hyperlink" Target="https://faculty.engineering.asu.edu/directory/semte/aerospace-and-mechanical-engineering/" TargetMode="External" Id="rId14"/><Relationship Type="http://schemas.openxmlformats.org/officeDocument/2006/relationships/hyperlink" Target="https://search.asu.edu/profile/leixinma" TargetMode="External" Id="rId15"/><Relationship Type="http://schemas.openxmlformats.org/officeDocument/2006/relationships/hyperlink" Target="https://scholar.google.com/citations?hl=en&amp;user=2xQTOc0AAAAJ" TargetMode="External" Id="rId16"/><Relationship Type="http://schemas.openxmlformats.org/officeDocument/2006/relationships/hyperlink" Target="mailto:Leixin.Ma@asu.edu" TargetMode="External" Id="rId17"/><Relationship Type="http://schemas.openxmlformats.org/officeDocument/2006/relationships/hyperlink" Target="https://sites.google.com/view/oasislabasu" TargetMode="External" Id="rId18"/><Relationship Type="http://schemas.openxmlformats.org/officeDocument/2006/relationships/hyperlink" Target="https://faculty.engineering.asu.edu/directory/semte/aerospace-and-mechanical-engineering/" TargetMode="External" Id="rId19"/><Relationship Type="http://schemas.openxmlformats.org/officeDocument/2006/relationships/hyperlink" Target="https://search.asu.edu/profile/gpathiko" TargetMode="External" Id="rId20"/><Relationship Type="http://schemas.openxmlformats.org/officeDocument/2006/relationships/hyperlink" Target="https://scholar.google.com/citations?view_op=search_authors&amp;mauthors=Gokul%20Pathikonda%20Arizona%20State%20University" TargetMode="External" Id="rId21"/><Relationship Type="http://schemas.openxmlformats.org/officeDocument/2006/relationships/hyperlink" Target="mailto:Gokul.Pathikonda@asu.edu" TargetMode="External" Id="rId22"/><Relationship Type="http://schemas.openxmlformats.org/officeDocument/2006/relationships/hyperlink" Target="https://faculty.engineering.asu.edu/cmat/"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https://search.asu.edu/profile/mherrma1" TargetMode="External" Id="rId25"/><Relationship Type="http://schemas.openxmlformats.org/officeDocument/2006/relationships/hyperlink" Target="https://scholar.google.com/citations?hl=en&amp;user=yv6aCW8AAAAJ" TargetMode="External" Id="rId26"/><Relationship Type="http://schemas.openxmlformats.org/officeDocument/2006/relationships/hyperlink" Target="mailto:Marcus.Herrmann@asu.edu"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https://search.asu.edu/profile/jkim520" TargetMode="External" Id="rId29"/><Relationship Type="http://schemas.openxmlformats.org/officeDocument/2006/relationships/hyperlink" Target="https://scholar.google.com/citations?view_op=search_authors&amp;mauthors=Jeonglae%20Kim%20Arizona%20State%20University" TargetMode="External" Id="rId30"/><Relationship Type="http://schemas.openxmlformats.org/officeDocument/2006/relationships/hyperlink" Target="mailto:jeokim@asu.edu" TargetMode="External" Id="rId31"/><Relationship Type="http://schemas.openxmlformats.org/officeDocument/2006/relationships/hyperlink" Target="https://faculty.engineering.asu.edu/directory/semte/aerospace-and-mechanical-engineering/" TargetMode="External" Id="rId32"/><Relationship Type="http://schemas.openxmlformats.org/officeDocument/2006/relationships/hyperlink" Target="https://search.asu.edu/profile/rjmilcar" TargetMode="External" Id="rId33"/><Relationship Type="http://schemas.openxmlformats.org/officeDocument/2006/relationships/hyperlink" Target="https://scholar.google.com/citations?hl=en&amp;user=m-Pb6g2pm2UC" TargetMode="External" Id="rId34"/><Relationship Type="http://schemas.openxmlformats.org/officeDocument/2006/relationships/hyperlink" Target="mailto:Ryan.Milcarek@asu.edu" TargetMode="External" Id="rId35"/><Relationship Type="http://schemas.openxmlformats.org/officeDocument/2006/relationships/hyperlink" Target="http://RESEARCHGATE.net/profile/Ryan_Milcarek" TargetMode="External" Id="rId36"/><Relationship Type="http://schemas.openxmlformats.org/officeDocument/2006/relationships/hyperlink" Target="https://faculty.engineering.asu.edu/directory/semte/aerospace-and-mechanical-engineering/" TargetMode="External" Id="rId37"/><Relationship Type="http://schemas.openxmlformats.org/officeDocument/2006/relationships/hyperlink" Target="https://search.asu.edu/profile/adscotti" TargetMode="External" Id="rId38"/><Relationship Type="http://schemas.openxmlformats.org/officeDocument/2006/relationships/hyperlink" Target="https://scholar.google.com/citations?hl=en&amp;user=HRx2lJQAAAAJ" TargetMode="External" Id="rId39"/><Relationship Type="http://schemas.openxmlformats.org/officeDocument/2006/relationships/hyperlink" Target="mailto:Alberto.Scotti@asu.edu" TargetMode="External" Id="rId40"/><Relationship Type="http://schemas.openxmlformats.org/officeDocument/2006/relationships/hyperlink" Target="https://faculty.engineering.asu.edu/directory/semte/aerospace-and-mechanical-engineering/" TargetMode="External" Id="rId41"/><Relationship Type="http://schemas.openxmlformats.org/officeDocument/2006/relationships/hyperlink" Target="https://search.asu.edu/profile/ypeet" TargetMode="External" Id="rId42"/><Relationship Type="http://schemas.openxmlformats.org/officeDocument/2006/relationships/hyperlink" Target="https://scholar.google.com/citations?hl=en&amp;user=_6o8MrUAAAAJ" TargetMode="External" Id="rId43"/><Relationship Type="http://schemas.openxmlformats.org/officeDocument/2006/relationships/hyperlink" Target="mailto:ypeet@asu.edu" TargetMode="External" Id="rId44"/><Relationship Type="http://schemas.openxmlformats.org/officeDocument/2006/relationships/hyperlink" Target="https://isim.asu.edu"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rcalhou" TargetMode="External" Id="rId47"/><Relationship Type="http://schemas.openxmlformats.org/officeDocument/2006/relationships/hyperlink" Target="https://scholar.google.com/citations?view_op=search_authors&amp;mauthors=Ronald%20Calhoun%20Arizona%20State%20University" TargetMode="External" Id="rId48"/><Relationship Type="http://schemas.openxmlformats.org/officeDocument/2006/relationships/hyperlink" Target="mailto:Ronald.Calhoun@asu.edu" TargetMode="External" Id="rId49"/><Relationship Type="http://schemas.openxmlformats.org/officeDocument/2006/relationships/hyperlink" Target="https://windlab.engineering.asu.edu/ronald-calhoun/" TargetMode="External" Id="rId50"/><Relationship Type="http://schemas.openxmlformats.org/officeDocument/2006/relationships/hyperlink" Target="https://faculty.engineering.asu.edu/directory/semte/aerospace-and-mechanical-engineering/" TargetMode="External" Id="rId51"/></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asuchen" TargetMode="External" Id="rId7"/><Relationship Type="http://schemas.openxmlformats.org/officeDocument/2006/relationships/hyperlink" Target="https://scholar.google.com/citations?hl=en&amp;user=xT-lX9sAAAAJ" TargetMode="External" Id="rId8"/><Relationship Type="http://schemas.openxmlformats.org/officeDocument/2006/relationships/hyperlink" Target="mailto:k.p.chen@asu.edu"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https://search.asu.edu/profile/kramesh2" TargetMode="External" Id="rId11"/><Relationship Type="http://schemas.openxmlformats.org/officeDocument/2006/relationships/hyperlink" Target="https://scholar.google.com/citations?hl=en&amp;user=DKc-AgcAAAAJ" TargetMode="External" Id="rId12"/><Relationship Type="http://schemas.openxmlformats.org/officeDocument/2006/relationships/hyperlink" Target="mailto:Kiran.Ramesh@asu.edu" TargetMode="External" Id="rId13"/><Relationship Type="http://schemas.openxmlformats.org/officeDocument/2006/relationships/hyperlink" Target="https://faculty.engineering.asu.edu/directory/semte/aerospace-and-mechanical-engineering/" TargetMode="External" Id="rId14"/><Relationship Type="http://schemas.openxmlformats.org/officeDocument/2006/relationships/hyperlink" Target="https://search.asu.edu/profile/leixinma" TargetMode="External" Id="rId15"/><Relationship Type="http://schemas.openxmlformats.org/officeDocument/2006/relationships/hyperlink" Target="https://scholar.google.com/citations?hl=en&amp;user=2xQTOc0AAAAJ" TargetMode="External" Id="rId16"/><Relationship Type="http://schemas.openxmlformats.org/officeDocument/2006/relationships/hyperlink" Target="mailto:Leixin.Ma@asu.edu" TargetMode="External" Id="rId17"/><Relationship Type="http://schemas.openxmlformats.org/officeDocument/2006/relationships/hyperlink" Target="https://sites.google.com/view/oasislabasu" TargetMode="External" Id="rId18"/><Relationship Type="http://schemas.openxmlformats.org/officeDocument/2006/relationships/hyperlink" Target="https://faculty.engineering.asu.edu/directory/semte/aerospace-and-mechanical-engineering/" TargetMode="External" Id="rId19"/><Relationship Type="http://schemas.openxmlformats.org/officeDocument/2006/relationships/hyperlink" Target="https://search.asu.edu/profile/gpathiko" TargetMode="External" Id="rId20"/><Relationship Type="http://schemas.openxmlformats.org/officeDocument/2006/relationships/hyperlink" Target="https://scholar.google.com/citations?view_op=search_authors&amp;mauthors=Gokul%20Pathikonda%20Arizona%20State%20University" TargetMode="External" Id="rId21"/><Relationship Type="http://schemas.openxmlformats.org/officeDocument/2006/relationships/hyperlink" Target="mailto:Gokul.Pathikonda@asu.edu" TargetMode="External" Id="rId22"/><Relationship Type="http://schemas.openxmlformats.org/officeDocument/2006/relationships/hyperlink" Target="https://faculty.engineering.asu.edu/cmat/"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https://search.asu.edu/profile/mherrma1" TargetMode="External" Id="rId25"/><Relationship Type="http://schemas.openxmlformats.org/officeDocument/2006/relationships/hyperlink" Target="https://scholar.google.com/citations?hl=en&amp;user=yv6aCW8AAAAJ" TargetMode="External" Id="rId26"/><Relationship Type="http://schemas.openxmlformats.org/officeDocument/2006/relationships/hyperlink" Target="mailto:Marcus.Herrmann@asu.edu"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https://search.asu.edu/profile/jkim520" TargetMode="External" Id="rId29"/><Relationship Type="http://schemas.openxmlformats.org/officeDocument/2006/relationships/hyperlink" Target="https://scholar.google.com/citations?view_op=search_authors&amp;mauthors=Jeonglae%20Kim%20Arizona%20State%20University" TargetMode="External" Id="rId30"/><Relationship Type="http://schemas.openxmlformats.org/officeDocument/2006/relationships/hyperlink" Target="mailto:jeokim@asu.edu" TargetMode="External" Id="rId31"/><Relationship Type="http://schemas.openxmlformats.org/officeDocument/2006/relationships/hyperlink" Target="https://faculty.engineering.asu.edu/directory/semte/aerospace-and-mechanical-engineering/" TargetMode="External" Id="rId32"/><Relationship Type="http://schemas.openxmlformats.org/officeDocument/2006/relationships/hyperlink" Target="https://search.asu.edu/profile/rjmilcar" TargetMode="External" Id="rId33"/><Relationship Type="http://schemas.openxmlformats.org/officeDocument/2006/relationships/hyperlink" Target="https://scholar.google.com/citations?hl=en&amp;user=m-Pb6g2pm2UC" TargetMode="External" Id="rId34"/><Relationship Type="http://schemas.openxmlformats.org/officeDocument/2006/relationships/hyperlink" Target="mailto:Ryan.Milcarek@asu.edu" TargetMode="External" Id="rId35"/><Relationship Type="http://schemas.openxmlformats.org/officeDocument/2006/relationships/hyperlink" Target="http://RESEARCHGATE.net/profile/Ryan_Milcarek" TargetMode="External" Id="rId36"/><Relationship Type="http://schemas.openxmlformats.org/officeDocument/2006/relationships/hyperlink" Target="https://faculty.engineering.asu.edu/directory/semte/aerospace-and-mechanical-engineering/" TargetMode="External" Id="rId37"/><Relationship Type="http://schemas.openxmlformats.org/officeDocument/2006/relationships/hyperlink" Target="https://search.asu.edu/profile/adscotti" TargetMode="External" Id="rId38"/><Relationship Type="http://schemas.openxmlformats.org/officeDocument/2006/relationships/hyperlink" Target="https://scholar.google.com/citations?hl=en&amp;user=HRx2lJQAAAAJ" TargetMode="External" Id="rId39"/><Relationship Type="http://schemas.openxmlformats.org/officeDocument/2006/relationships/hyperlink" Target="mailto:Alberto.Scotti@asu.edu" TargetMode="External" Id="rId40"/><Relationship Type="http://schemas.openxmlformats.org/officeDocument/2006/relationships/hyperlink" Target="https://faculty.engineering.asu.edu/directory/semte/aerospace-and-mechanical-engineering/" TargetMode="External" Id="rId41"/><Relationship Type="http://schemas.openxmlformats.org/officeDocument/2006/relationships/hyperlink" Target="https://search.asu.edu/profile/ypeet" TargetMode="External" Id="rId42"/><Relationship Type="http://schemas.openxmlformats.org/officeDocument/2006/relationships/hyperlink" Target="https://scholar.google.com/citations?hl=en&amp;user=_6o8MrUAAAAJ" TargetMode="External" Id="rId43"/><Relationship Type="http://schemas.openxmlformats.org/officeDocument/2006/relationships/hyperlink" Target="mailto:ypeet@asu.edu" TargetMode="External" Id="rId44"/><Relationship Type="http://schemas.openxmlformats.org/officeDocument/2006/relationships/hyperlink" Target="https://isim.asu.edu"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rcalhou" TargetMode="External" Id="rId47"/><Relationship Type="http://schemas.openxmlformats.org/officeDocument/2006/relationships/hyperlink" Target="https://scholar.google.com/citations?view_op=search_authors&amp;mauthors=Ronald%20Calhoun%20Arizona%20State%20University" TargetMode="External" Id="rId48"/><Relationship Type="http://schemas.openxmlformats.org/officeDocument/2006/relationships/hyperlink" Target="mailto:Ronald.Calhoun@asu.edu" TargetMode="External" Id="rId49"/><Relationship Type="http://schemas.openxmlformats.org/officeDocument/2006/relationships/hyperlink" Target="https://windlab.engineering.asu.edu/ronald-calhoun/" TargetMode="External" Id="rId50"/><Relationship Type="http://schemas.openxmlformats.org/officeDocument/2006/relationships/hyperlink" Target="https://faculty.engineering.asu.edu/directory/semte/aerospace-and-mechanical-engineering/" TargetMode="External" Id="rId51"/><Relationship Type="http://schemas.openxmlformats.org/officeDocument/2006/relationships/hyperlink" Target="https://search.asu.edu/profile/lwang78" TargetMode="External" Id="rId52"/><Relationship Type="http://schemas.openxmlformats.org/officeDocument/2006/relationships/hyperlink" Target="https://scholar.google.com/citations?view_op=search_authors&amp;mauthors=Liping%20Wang%20Arizona%20State%20University" TargetMode="External" Id="rId53"/><Relationship Type="http://schemas.openxmlformats.org/officeDocument/2006/relationships/hyperlink" Target="mailto:Liping.Wang@asu.edu" TargetMode="External" Id="rId54"/><Relationship Type="http://schemas.openxmlformats.org/officeDocument/2006/relationships/hyperlink" Target="http://faculty.engineering.asu.edu/lpwang" TargetMode="External" Id="rId55"/><Relationship Type="http://schemas.openxmlformats.org/officeDocument/2006/relationships/hyperlink" Target="https://faculty.engineering.asu.edu/directory/semte/aerospace-and-mechanical-engineering/" TargetMode="External" Id="rId56"/><Relationship Type="http://schemas.openxmlformats.org/officeDocument/2006/relationships/hyperlink" Target="https://search.asu.edu/profile/rywang" TargetMode="External" Id="rId57"/><Relationship Type="http://schemas.openxmlformats.org/officeDocument/2006/relationships/hyperlink" Target="https://scholar.google.com/citations?hl=en&amp;user=LaUdx9gAAAAJ" TargetMode="External" Id="rId58"/><Relationship Type="http://schemas.openxmlformats.org/officeDocument/2006/relationships/hyperlink" Target="mailto:rywang@asu.edu" TargetMode="External" Id="rId59"/><Relationship Type="http://schemas.openxmlformats.org/officeDocument/2006/relationships/hyperlink" Target="http://wang.faculty.asu.edu/"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https://search.asu.edu/profile/attwl" TargetMode="External" Id="rId62"/><Relationship Type="http://schemas.openxmlformats.org/officeDocument/2006/relationships/hyperlink" Target="https://scholar.google.com/citations?view_op=search_authors&amp;mauthors=T.-W.%20Lee%20Arizona%20State%20University" TargetMode="External" Id="rId63"/><Relationship Type="http://schemas.openxmlformats.org/officeDocument/2006/relationships/hyperlink" Target="mailto:ATTWL@asu.edu" TargetMode="External" Id="rId64"/><Relationship Type="http://schemas.openxmlformats.org/officeDocument/2006/relationships/hyperlink" Target="https://faculty.engineering.asu.edu/directory/semte/aerospace-and-mechanical-engineering/" TargetMode="External" Id="rId65"/><Relationship Type="http://schemas.openxmlformats.org/officeDocument/2006/relationships/hyperlink" Target="https://search.asu.edu/profile/tyang123" TargetMode="External" Id="rId66"/><Relationship Type="http://schemas.openxmlformats.org/officeDocument/2006/relationships/hyperlink" Target="https://scholar.google.com/citations?hl=en&amp;user=OmBV67MAAAAJ" TargetMode="External" Id="rId67"/><Relationship Type="http://schemas.openxmlformats.org/officeDocument/2006/relationships/hyperlink" Target="mailto:Tianyu.Yang@asu.edu" TargetMode="External" Id="rId68"/><Relationship Type="http://schemas.openxmlformats.org/officeDocument/2006/relationships/hyperlink" Target="https://faculty.engineering.asu.edu/directory/semte/aerospace-and-mechanical-engineering/" TargetMode="External" Id="rId69"/><Relationship Type="http://schemas.openxmlformats.org/officeDocument/2006/relationships/hyperlink" Target="https://search.asu.edu/profile/bkwon2" TargetMode="External" Id="rId70"/><Relationship Type="http://schemas.openxmlformats.org/officeDocument/2006/relationships/hyperlink" Target="https://scholar.google.com/citations?hl=en&amp;user=fs2d97sAAAAJ" TargetMode="External" Id="rId71"/><Relationship Type="http://schemas.openxmlformats.org/officeDocument/2006/relationships/hyperlink" Target="mailto:kwon@asu.edu" TargetMode="External" Id="rId72"/><Relationship Type="http://schemas.openxmlformats.org/officeDocument/2006/relationships/hyperlink" Target="http://sites.google.com/view/3denergy" TargetMode="External" Id="rId73"/><Relationship Type="http://schemas.openxmlformats.org/officeDocument/2006/relationships/hyperlink" Target="https://faculty.engineering.asu.edu/directory/semte/aerospace-and-mechanical-engineering/" TargetMode="External" Id="rId74"/><Relationship Type="http://schemas.openxmlformats.org/officeDocument/2006/relationships/hyperlink" Target="https://search.asu.edu/profile/pphelan" TargetMode="External" Id="rId75"/><Relationship Type="http://schemas.openxmlformats.org/officeDocument/2006/relationships/hyperlink" Target="https://scholar.google.com/citations?view_op=search_authors&amp;mauthors=Patrick%20Phelan%20Arizona%20State%20University" TargetMode="External" Id="rId76"/><Relationship Type="http://schemas.openxmlformats.org/officeDocument/2006/relationships/hyperlink" Target="mailto:phelan@asu.edu" TargetMode="External" Id="rId77"/><Relationship Type="http://schemas.openxmlformats.org/officeDocument/2006/relationships/hyperlink" Target="https://faculty.engineering.asu.edu/directory/semte/aerospace-and-mechanical-engineering/" TargetMode="External" Id="rId78"/><Relationship Type="http://schemas.openxmlformats.org/officeDocument/2006/relationships/hyperlink" Target="https://search.asu.edu/profile/krykacze" TargetMode="External" Id="rId79"/><Relationship Type="http://schemas.openxmlformats.org/officeDocument/2006/relationships/hyperlink" Target="https://scholar.google.com/citations?hl=en&amp;user=SWeAf4UAAAAJ" TargetMode="External" Id="rId80"/><Relationship Type="http://schemas.openxmlformats.org/officeDocument/2006/relationships/hyperlink" Target="mailto:konradr@asu.edu" TargetMode="External" Id="rId81"/><Relationship Type="http://schemas.openxmlformats.org/officeDocument/2006/relationships/hyperlink" Target="http://faculty.engineering.asu.edu/konrad/" TargetMode="External" Id="rId82"/><Relationship Type="http://schemas.openxmlformats.org/officeDocument/2006/relationships/hyperlink" Target="https://faculty.engineering.asu.edu/directory/semte/aerospace-and-mechanical-engineering/" TargetMode="External" Id="rId83"/><Relationship Type="http://schemas.openxmlformats.org/officeDocument/2006/relationships/hyperlink" Target="https://search.asu.edu/profile/joswald1" TargetMode="External" Id="rId84"/><Relationship Type="http://schemas.openxmlformats.org/officeDocument/2006/relationships/hyperlink" Target="https://scholar.google.com/citations?view_op=search_authors&amp;mauthors=Jay%20Oswald%20Arizona%20State%20University" TargetMode="External" Id="rId85"/><Relationship Type="http://schemas.openxmlformats.org/officeDocument/2006/relationships/hyperlink" Target="mailto:joswald1@asu.edu" TargetMode="External" Id="rId86"/><Relationship Type="http://schemas.openxmlformats.org/officeDocument/2006/relationships/hyperlink" Target="http://sparky.fulton.asu.edu/oswald/"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https://search.asu.edu/profile/chattopa" TargetMode="External" Id="rId89"/><Relationship Type="http://schemas.openxmlformats.org/officeDocument/2006/relationships/hyperlink" Target="https://scholar.google.com/citations?hl=en&amp;user=w3fU9E0AAAAJ" TargetMode="External" Id="rId90"/><Relationship Type="http://schemas.openxmlformats.org/officeDocument/2006/relationships/hyperlink" Target="mailto:aditi@asu.edu"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https://search.asu.edu/profile/ljannesa" TargetMode="External" Id="rId93"/><Relationship Type="http://schemas.openxmlformats.org/officeDocument/2006/relationships/hyperlink" Target="https://scholar.google.com/citations?view_op=search_authors&amp;mauthors=Leila%20Ladani%20Arizona%20State%20University" TargetMode="External" Id="rId94"/><Relationship Type="http://schemas.openxmlformats.org/officeDocument/2006/relationships/hyperlink" Target="mailto:ladani@asu.edu" TargetMode="External" Id="rId95"/><Relationship Type="http://schemas.openxmlformats.org/officeDocument/2006/relationships/hyperlink" Target="https://magic.asu.edu/"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https://search.asu.edu/profile/hzhuang7" TargetMode="External" Id="rId98"/><Relationship Type="http://schemas.openxmlformats.org/officeDocument/2006/relationships/hyperlink" Target="https://scholar.google.com/citations?hl=en&amp;user=4yYKCpUAAAAJ" TargetMode="External" Id="rId99"/><Relationship Type="http://schemas.openxmlformats.org/officeDocument/2006/relationships/hyperlink" Target="mailto:zhuanghl@asu.edu" TargetMode="External" Id="rId100"/><Relationship Type="http://schemas.openxmlformats.org/officeDocument/2006/relationships/hyperlink" Target="https://faculty.engineering.asu.edu/directory/semte/aerospace-and-mechanical-engineering/" TargetMode="External" Id="rId101"/><Relationship Type="http://schemas.openxmlformats.org/officeDocument/2006/relationships/hyperlink" Target="https://search.asu.edu/profile/jrajago1" TargetMode="External" Id="rId102"/><Relationship Type="http://schemas.openxmlformats.org/officeDocument/2006/relationships/hyperlink" Target="https://scholar.google.com/citations?hl=en&amp;user=ClqRIhIAAAAJ" TargetMode="External" Id="rId103"/><Relationship Type="http://schemas.openxmlformats.org/officeDocument/2006/relationships/hyperlink" Target="mailto:Jagannathan.Rajagopalan@asu.edu" TargetMode="External" Id="rId104"/><Relationship Type="http://schemas.openxmlformats.org/officeDocument/2006/relationships/hyperlink" Target="http://faculty.engineering.asu.edu/jagan/" TargetMode="External" Id="rId105"/><Relationship Type="http://schemas.openxmlformats.org/officeDocument/2006/relationships/hyperlink" Target="https://faculty.engineering.asu.edu/directory/semte/aerospace-and-mechanical-engineering/" TargetMode="External" Id="rId106"/><Relationship Type="http://schemas.openxmlformats.org/officeDocument/2006/relationships/hyperlink" Target="https://search.asu.edu/profile/mingleiq" TargetMode="External" Id="rId107"/><Relationship Type="http://schemas.openxmlformats.org/officeDocument/2006/relationships/hyperlink" Target="https://scholar.google.com/citations?hl=en&amp;user=9LWNC50AAAAJ" TargetMode="External" Id="rId108"/><Relationship Type="http://schemas.openxmlformats.org/officeDocument/2006/relationships/hyperlink" Target="mailto:minglei.qu@asu.edu" TargetMode="External" Id="rId109"/><Relationship Type="http://schemas.openxmlformats.org/officeDocument/2006/relationships/hyperlink" Target="https://faculty.engineering.asu.edu/directory/semte/aerospace-and-mechanical-engineering/" TargetMode="External" Id="rId110"/><Relationship Type="http://schemas.openxmlformats.org/officeDocument/2006/relationships/hyperlink" Target="https://search.asu.edu/profile/qnian" TargetMode="External" Id="rId111"/><Relationship Type="http://schemas.openxmlformats.org/officeDocument/2006/relationships/hyperlink" Target="https://scholar.google.com/citations?view_op=search_authors&amp;mauthors=Qiong%20Nian%20Arizona%20State%20University" TargetMode="External" Id="rId112"/><Relationship Type="http://schemas.openxmlformats.org/officeDocument/2006/relationships/hyperlink" Target="mailto:Qiong.Nian@asu.edu" TargetMode="External" Id="rId113"/><Relationship Type="http://schemas.openxmlformats.org/officeDocument/2006/relationships/hyperlink" Target="https://mmmplab.engineering.asu.edu/" TargetMode="External" Id="rId114"/><Relationship Type="http://schemas.openxmlformats.org/officeDocument/2006/relationships/hyperlink" Target="https://faculty.engineering.asu.edu/directory/semte/aerospace-and-mechanical-engineering/" TargetMode="External" Id="rId115"/><Relationship Type="http://schemas.openxmlformats.org/officeDocument/2006/relationships/hyperlink" Target="https://search.asu.edu/profile/yliu35" TargetMode="External" Id="rId116"/><Relationship Type="http://schemas.openxmlformats.org/officeDocument/2006/relationships/hyperlink" Target="https://scholar.google.com/citations?view_op=search_authors&amp;mauthors=Yongming%20Liu%20Arizona%20State%20University" TargetMode="External" Id="rId117"/><Relationship Type="http://schemas.openxmlformats.org/officeDocument/2006/relationships/hyperlink" Target="mailto:Yongming.Liu@asu.edu" TargetMode="External" Id="rId118"/><Relationship Type="http://schemas.openxmlformats.org/officeDocument/2006/relationships/hyperlink" Target="https://faculty.engineering.asu.edu/directory/semte/aerospace-and-mechanical-engineering/" TargetMode="External" Id="rId119"/><Relationship Type="http://schemas.openxmlformats.org/officeDocument/2006/relationships/hyperlink" Target="https://search.asu.edu/profile/xiangji5" TargetMode="External" Id="rId120"/><Relationship Type="http://schemas.openxmlformats.org/officeDocument/2006/relationships/hyperlink" Target="https://scholar.google.com/citations?hl=en&amp;user=tGQzHJIAAAAJ" TargetMode="External" Id="rId121"/><Relationship Type="http://schemas.openxmlformats.org/officeDocument/2006/relationships/hyperlink" Target="mailto:xiangjia.li@asu.edu" TargetMode="External" Id="rId122"/><Relationship Type="http://schemas.openxmlformats.org/officeDocument/2006/relationships/hyperlink" Target="https://www.cindyxjli.com/" TargetMode="External" Id="rId123"/><Relationship Type="http://schemas.openxmlformats.org/officeDocument/2006/relationships/hyperlink" Target="https://faculty.engineering.asu.edu/directory/semte/aerospace-and-mechanical-engineering/" TargetMode="External" Id="rId124"/><Relationship Type="http://schemas.openxmlformats.org/officeDocument/2006/relationships/hyperlink" Target="https://search.asu.edu/profile/linli25" TargetMode="External" Id="rId125"/><Relationship Type="http://schemas.openxmlformats.org/officeDocument/2006/relationships/hyperlink" Target="https://scholar.google.com/citations?view_op=search_authors&amp;mauthors=Lin%20Li%20Arizona%20State%20University" TargetMode="External" Id="rId126"/><Relationship Type="http://schemas.openxmlformats.org/officeDocument/2006/relationships/hyperlink" Target="mailto:Lin.Li.10@asu.edu" TargetMode="External" Id="rId127"/><Relationship Type="http://schemas.openxmlformats.org/officeDocument/2006/relationships/hyperlink" Target="https://faculty.engineering.asu.edu/directory/semte/aerospace-and-mechanical-engineering/" TargetMode="External" Id="rId128"/><Relationship Type="http://schemas.openxmlformats.org/officeDocument/2006/relationships/hyperlink" Target="https://search.asu.edu/profile/pperalta" TargetMode="External" Id="rId129"/><Relationship Type="http://schemas.openxmlformats.org/officeDocument/2006/relationships/hyperlink" Target="https://scholar.google.com/citations?view_op=search_authors&amp;mauthors=Pedro%20Peralta%20Arizona%20State%20University" TargetMode="External" Id="rId130"/><Relationship Type="http://schemas.openxmlformats.org/officeDocument/2006/relationships/hyperlink" Target="mailto:pperalta@asu.edu" TargetMode="External" Id="rId131"/><Relationship Type="http://schemas.openxmlformats.org/officeDocument/2006/relationships/hyperlink" Target="https://faculty.engineering.asu.edu/pperalta/" TargetMode="External" Id="rId132"/><Relationship Type="http://schemas.openxmlformats.org/officeDocument/2006/relationships/hyperlink" Target="https://faculty.engineering.asu.edu/directory/semte/aerospace-and-mechanical-engineering/" TargetMode="External" Id="rId133"/><Relationship Type="http://schemas.openxmlformats.org/officeDocument/2006/relationships/hyperlink" Target="https://search.asu.edu/profile/wkang16" TargetMode="External" Id="rId134"/><Relationship Type="http://schemas.openxmlformats.org/officeDocument/2006/relationships/hyperlink" Target="https://scholar.google.com/citations?hl=en&amp;user=bHyyOTAAAAAJ" TargetMode="External" Id="rId135"/><Relationship Type="http://schemas.openxmlformats.org/officeDocument/2006/relationships/hyperlink" Target="mailto:Wonmo.Kang@asu.edu" TargetMode="External" Id="rId136"/><Relationship Type="http://schemas.openxmlformats.org/officeDocument/2006/relationships/hyperlink" Target="https://wonmokang3.wixsite.com/website" TargetMode="External" Id="rId137"/><Relationship Type="http://schemas.openxmlformats.org/officeDocument/2006/relationships/hyperlink" Target="https://faculty.engineering.asu.edu/directory/semte/aerospace-and-mechanical-engineering/" TargetMode="External" Id="rId138"/><Relationship Type="http://schemas.openxmlformats.org/officeDocument/2006/relationships/hyperlink" Target="https://search.asu.edu/profile/jsun165" TargetMode="External" Id="rId139"/><Relationship Type="http://schemas.openxmlformats.org/officeDocument/2006/relationships/hyperlink" Target="https://scholar.google.com/citations?hl=en&amp;user=fjUoHOsAAAAJ" TargetMode="External" Id="rId140"/><Relationship Type="http://schemas.openxmlformats.org/officeDocument/2006/relationships/hyperlink" Target="mailto:Jiefeng.Sun@asu.edu" TargetMode="External" Id="rId141"/><Relationship Type="http://schemas.openxmlformats.org/officeDocument/2006/relationships/hyperlink" Target="https://sunroboticslab.github.io" TargetMode="External" Id="rId142"/><Relationship Type="http://schemas.openxmlformats.org/officeDocument/2006/relationships/hyperlink" Target="https://faculty.engineering.asu.edu/directory/semte/aerospace-and-mechanical-engineering/" TargetMode="External" Id="rId143"/><Relationship Type="http://schemas.openxmlformats.org/officeDocument/2006/relationships/hyperlink" Target="https://search.asu.edu/profile/kgarg24" TargetMode="External" Id="rId144"/><Relationship Type="http://schemas.openxmlformats.org/officeDocument/2006/relationships/hyperlink" Target="https://scholar.google.com/citations?hl=en&amp;user=vs3pl-8AAAAJ" TargetMode="External" Id="rId145"/><Relationship Type="http://schemas.openxmlformats.org/officeDocument/2006/relationships/hyperlink" Target="mailto:kgarg24@asu.edu" TargetMode="External" Id="rId146"/><Relationship Type="http://schemas.openxmlformats.org/officeDocument/2006/relationships/hyperlink" Target="https://sites.google.com/asu.edu/kunalgarg/" TargetMode="External" Id="rId147"/><Relationship Type="http://schemas.openxmlformats.org/officeDocument/2006/relationships/hyperlink" Target="https://faculty.engineering.asu.edu/directory/semte/aerospace-and-mechanical-engineering/" TargetMode="External" Id="rId148"/><Relationship Type="http://schemas.openxmlformats.org/officeDocument/2006/relationships/hyperlink" Target="https://search.asu.edu/profile/smberma2" TargetMode="External" Id="rId149"/><Relationship Type="http://schemas.openxmlformats.org/officeDocument/2006/relationships/hyperlink" Target="https://scholar.google.com/citations?hl=en&amp;user=KKup0OgAAAAJ" TargetMode="External" Id="rId150"/><Relationship Type="http://schemas.openxmlformats.org/officeDocument/2006/relationships/hyperlink" Target="mailto:Spring.Berman@asu.edu" TargetMode="External" Id="rId151"/><Relationship Type="http://schemas.openxmlformats.org/officeDocument/2006/relationships/hyperlink" Target="http://faculty.engineering.asu.edu/acs/" TargetMode="External" Id="rId152"/><Relationship Type="http://schemas.openxmlformats.org/officeDocument/2006/relationships/hyperlink" Target="https://faculty.engineering.asu.edu/directory/semte/aerospace-and-mechanical-engineering/" TargetMode="External" Id="rId153"/><Relationship Type="http://schemas.openxmlformats.org/officeDocument/2006/relationships/hyperlink" Target="https://search.asu.edu/profile/xzhe1" TargetMode="External" Id="rId154"/><Relationship Type="http://schemas.openxmlformats.org/officeDocument/2006/relationships/hyperlink" Target="https://scholar.google.com/citations?view_op=search_authors&amp;mauthors=Zhe%20Xu%20Arizona%20State%20University" TargetMode="External" Id="rId155"/><Relationship Type="http://schemas.openxmlformats.org/officeDocument/2006/relationships/hyperlink" Target="mailto:xzhe1@asu.edu" TargetMode="External" Id="rId156"/><Relationship Type="http://schemas.openxmlformats.org/officeDocument/2006/relationships/hyperlink" Target="https://sites.google.com/site/zhexudavid00710/research?authuser=0" TargetMode="External" Id="rId157"/><Relationship Type="http://schemas.openxmlformats.org/officeDocument/2006/relationships/hyperlink" Target="https://faculty.engineering.asu.edu/directory/semte/aerospace-and-mechanical-engineering/" TargetMode="External" Id="rId158"/><Relationship Type="http://schemas.openxmlformats.org/officeDocument/2006/relationships/hyperlink" Target="https://search.asu.edu/profile/mpeet" TargetMode="External" Id="rId159"/><Relationship Type="http://schemas.openxmlformats.org/officeDocument/2006/relationships/hyperlink" Target="https://scholar.google.com/citations?hl=en&amp;user=l7umOqMAAAAJ" TargetMode="External" Id="rId160"/><Relationship Type="http://schemas.openxmlformats.org/officeDocument/2006/relationships/hyperlink" Target="mailto:mpeet@asu.edu" TargetMode="External" Id="rId161"/><Relationship Type="http://schemas.openxmlformats.org/officeDocument/2006/relationships/hyperlink" Target="http://control.asu.edu/"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https://search.asu.edu/profile/hmarvi" TargetMode="External" Id="rId164"/><Relationship Type="http://schemas.openxmlformats.org/officeDocument/2006/relationships/hyperlink" Target="https://scholar.google.com/citations?hl=en&amp;user=00Fepb0AAAAJ" TargetMode="External" Id="rId165"/><Relationship Type="http://schemas.openxmlformats.org/officeDocument/2006/relationships/hyperlink" Target="mailto:hmarvi@asu.edu" TargetMode="External" Id="rId166"/><Relationship Type="http://schemas.openxmlformats.org/officeDocument/2006/relationships/hyperlink" Target="http://birth.asu.edu"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https://search.asu.edu/profile/hlee234" TargetMode="External" Id="rId169"/><Relationship Type="http://schemas.openxmlformats.org/officeDocument/2006/relationships/hyperlink" Target="https://scholar.google.com/citations?view_op=search_authors&amp;mauthors=Hyunglae%20Lee%20Arizona%20State%20University" TargetMode="External" Id="rId170"/><Relationship Type="http://schemas.openxmlformats.org/officeDocument/2006/relationships/hyperlink" Target="mailto:Hyunglae.Lee@asu.edu" TargetMode="External" Id="rId171"/><Relationship Type="http://schemas.openxmlformats.org/officeDocument/2006/relationships/hyperlink" Target="https://faculty.engineering.asu.edu/hlee" TargetMode="External" Id="rId172"/><Relationship Type="http://schemas.openxmlformats.org/officeDocument/2006/relationships/hyperlink" Target="https://faculty.engineering.asu.edu/directory/semte/aerospace-and-mechanical-engineering/" TargetMode="External" Id="rId173"/><Relationship Type="http://schemas.openxmlformats.org/officeDocument/2006/relationships/hyperlink" Target="https://search.asu.edu/profile/hhuang38" TargetMode="External" Id="rId174"/><Relationship Type="http://schemas.openxmlformats.org/officeDocument/2006/relationships/hyperlink" Target="https://scholar.google.com/citations?view_op=search_authors&amp;mauthors=Huei-Ping%20Huang%20Arizona%20State%20University" TargetMode="External" Id="rId175"/><Relationship Type="http://schemas.openxmlformats.org/officeDocument/2006/relationships/hyperlink" Target="mailto:Huei-Ping.Huang@asu.edu" TargetMode="External" Id="rId176"/><Relationship Type="http://schemas.openxmlformats.org/officeDocument/2006/relationships/hyperlink" Target="http://www.public.asu.edu/~hhuang38"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wjin34" TargetMode="External" Id="rId179"/><Relationship Type="http://schemas.openxmlformats.org/officeDocument/2006/relationships/hyperlink" Target="https://scholar.google.com/citations?hl=en&amp;user=SoEC4h4AAAAJ" TargetMode="External" Id="rId180"/><Relationship Type="http://schemas.openxmlformats.org/officeDocument/2006/relationships/hyperlink" Target="mailto:wjin@asu.edu" TargetMode="External" Id="rId181"/><Relationship Type="http://schemas.openxmlformats.org/officeDocument/2006/relationships/hyperlink" Target="https://irislab.tech/" TargetMode="External" Id="rId182"/><Relationship Type="http://schemas.openxmlformats.org/officeDocument/2006/relationships/hyperlink" Target="https://github.com/asu-iris" TargetMode="External" Id="rId183"/><Relationship Type="http://schemas.openxmlformats.org/officeDocument/2006/relationships/hyperlink" Target="https://faculty.engineering.asu.edu/directory/semte/aerospace-and-mechanical-engineering/" TargetMode="External" Id="rId184"/><Relationship Type="http://schemas.openxmlformats.org/officeDocument/2006/relationships/hyperlink" Target="https://search.asu.edu/profile/jimbo" TargetMode="External" Id="rId185"/><Relationship Type="http://schemas.openxmlformats.org/officeDocument/2006/relationships/hyperlink" Target="https://scholar.google.com/citations?view_op=search_authors&amp;mauthors=James%20Middleton%20Arizona%20State%20University" TargetMode="External" Id="rId186"/><Relationship Type="http://schemas.openxmlformats.org/officeDocument/2006/relationships/hyperlink" Target="mailto:jimbo@asu.edu" TargetMode="External" Id="rId187"/><Relationship Type="http://schemas.openxmlformats.org/officeDocument/2006/relationships/hyperlink" Target="https://faculty.engineering.asu.edu/directory/semte/aerospace-and-mechanical-engineering/" TargetMode="External" Id="rId188"/><Relationship Type="http://schemas.openxmlformats.org/officeDocument/2006/relationships/hyperlink" Target="https://search.asu.edu/profile/marc03" TargetMode="External" Id="rId189"/><Relationship Type="http://schemas.openxmlformats.org/officeDocument/2006/relationships/hyperlink" Target="https://scholar.google.com/citations?view_op=search_authors&amp;mauthors=Marc%20Mignolet%20Arizona%20State%20University" TargetMode="External" Id="rId190"/><Relationship Type="http://schemas.openxmlformats.org/officeDocument/2006/relationships/hyperlink" Target="mailto:marc.mignolet@asu.edu"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s>
</file>

<file path=xl/worksheets/_rels/sheet3.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asuchen" TargetMode="External" Id="rId7"/><Relationship Type="http://schemas.openxmlformats.org/officeDocument/2006/relationships/hyperlink" Target="https://scholar.google.com/citations?hl=en&amp;user=xT-lX9sAAAAJ" TargetMode="External" Id="rId8"/><Relationship Type="http://schemas.openxmlformats.org/officeDocument/2006/relationships/hyperlink" Target="mailto:k.p.chen@asu.edu"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https://search.asu.edu/profile/kramesh2" TargetMode="External" Id="rId11"/><Relationship Type="http://schemas.openxmlformats.org/officeDocument/2006/relationships/hyperlink" Target="https://scholar.google.com/citations?hl=en&amp;user=DKc-AgcAAAAJ" TargetMode="External" Id="rId12"/><Relationship Type="http://schemas.openxmlformats.org/officeDocument/2006/relationships/hyperlink" Target="mailto:Kiran.Ramesh@asu.edu" TargetMode="External" Id="rId13"/><Relationship Type="http://schemas.openxmlformats.org/officeDocument/2006/relationships/hyperlink" Target="https://faculty.engineering.asu.edu/directory/semte/aerospace-and-mechanical-engineering/" TargetMode="External" Id="rId14"/><Relationship Type="http://schemas.openxmlformats.org/officeDocument/2006/relationships/hyperlink" Target="https://search.asu.edu/profile/leixinma" TargetMode="External" Id="rId15"/><Relationship Type="http://schemas.openxmlformats.org/officeDocument/2006/relationships/hyperlink" Target="https://scholar.google.com/citations?hl=en&amp;user=2xQTOc0AAAAJ" TargetMode="External" Id="rId16"/><Relationship Type="http://schemas.openxmlformats.org/officeDocument/2006/relationships/hyperlink" Target="mailto:Leixin.Ma@asu.edu" TargetMode="External" Id="rId17"/><Relationship Type="http://schemas.openxmlformats.org/officeDocument/2006/relationships/hyperlink" Target="https://sites.google.com/view/oasislabasu" TargetMode="External" Id="rId18"/><Relationship Type="http://schemas.openxmlformats.org/officeDocument/2006/relationships/hyperlink" Target="https://faculty.engineering.asu.edu/directory/semte/aerospace-and-mechanical-engineering/" TargetMode="External" Id="rId19"/><Relationship Type="http://schemas.openxmlformats.org/officeDocument/2006/relationships/hyperlink" Target="https://search.asu.edu/profile/gpathiko" TargetMode="External" Id="rId20"/><Relationship Type="http://schemas.openxmlformats.org/officeDocument/2006/relationships/hyperlink" Target="https://scholar.google.com/citations?view_op=search_authors&amp;mauthors=Gokul%20Pathikonda%20Arizona%20State%20University" TargetMode="External" Id="rId21"/><Relationship Type="http://schemas.openxmlformats.org/officeDocument/2006/relationships/hyperlink" Target="mailto:Gokul.Pathikonda@asu.edu" TargetMode="External" Id="rId22"/><Relationship Type="http://schemas.openxmlformats.org/officeDocument/2006/relationships/hyperlink" Target="https://faculty.engineering.asu.edu/cmat/"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https://search.asu.edu/profile/mherrma1" TargetMode="External" Id="rId25"/><Relationship Type="http://schemas.openxmlformats.org/officeDocument/2006/relationships/hyperlink" Target="https://scholar.google.com/citations?hl=en&amp;user=yv6aCW8AAAAJ" TargetMode="External" Id="rId26"/><Relationship Type="http://schemas.openxmlformats.org/officeDocument/2006/relationships/hyperlink" Target="mailto:Marcus.Herrmann@asu.edu"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https://search.asu.edu/profile/jkim520" TargetMode="External" Id="rId29"/><Relationship Type="http://schemas.openxmlformats.org/officeDocument/2006/relationships/hyperlink" Target="https://scholar.google.com/citations?view_op=search_authors&amp;mauthors=Jeonglae%20Kim%20Arizona%20State%20University" TargetMode="External" Id="rId30"/><Relationship Type="http://schemas.openxmlformats.org/officeDocument/2006/relationships/hyperlink" Target="mailto:jeokim@asu.edu" TargetMode="External" Id="rId31"/><Relationship Type="http://schemas.openxmlformats.org/officeDocument/2006/relationships/hyperlink" Target="https://faculty.engineering.asu.edu/directory/semte/aerospace-and-mechanical-engineering/" TargetMode="External" Id="rId32"/><Relationship Type="http://schemas.openxmlformats.org/officeDocument/2006/relationships/hyperlink" Target="https://search.asu.edu/profile/rjmilcar" TargetMode="External" Id="rId33"/><Relationship Type="http://schemas.openxmlformats.org/officeDocument/2006/relationships/hyperlink" Target="https://scholar.google.com/citations?hl=en&amp;user=m-Pb6g2pm2UC" TargetMode="External" Id="rId34"/><Relationship Type="http://schemas.openxmlformats.org/officeDocument/2006/relationships/hyperlink" Target="mailto:Ryan.Milcarek@asu.edu" TargetMode="External" Id="rId35"/><Relationship Type="http://schemas.openxmlformats.org/officeDocument/2006/relationships/hyperlink" Target="http://RESEARCHGATE.net/profile/Ryan_Milcarek" TargetMode="External" Id="rId36"/><Relationship Type="http://schemas.openxmlformats.org/officeDocument/2006/relationships/hyperlink" Target="https://faculty.engineering.asu.edu/directory/semte/aerospace-and-mechanical-engineering/" TargetMode="External" Id="rId37"/><Relationship Type="http://schemas.openxmlformats.org/officeDocument/2006/relationships/hyperlink" Target="https://search.asu.edu/profile/adscotti" TargetMode="External" Id="rId38"/><Relationship Type="http://schemas.openxmlformats.org/officeDocument/2006/relationships/hyperlink" Target="https://scholar.google.com/citations?hl=en&amp;user=HRx2lJQAAAAJ" TargetMode="External" Id="rId39"/><Relationship Type="http://schemas.openxmlformats.org/officeDocument/2006/relationships/hyperlink" Target="mailto:Alberto.Scotti@asu.edu" TargetMode="External" Id="rId40"/><Relationship Type="http://schemas.openxmlformats.org/officeDocument/2006/relationships/hyperlink" Target="https://faculty.engineering.asu.edu/directory/semte/aerospace-and-mechanical-engineering/" TargetMode="External" Id="rId41"/><Relationship Type="http://schemas.openxmlformats.org/officeDocument/2006/relationships/hyperlink" Target="https://search.asu.edu/profile/ypeet" TargetMode="External" Id="rId42"/><Relationship Type="http://schemas.openxmlformats.org/officeDocument/2006/relationships/hyperlink" Target="https://scholar.google.com/citations?hl=en&amp;user=_6o8MrUAAAAJ" TargetMode="External" Id="rId43"/><Relationship Type="http://schemas.openxmlformats.org/officeDocument/2006/relationships/hyperlink" Target="mailto:ypeet@asu.edu" TargetMode="External" Id="rId44"/><Relationship Type="http://schemas.openxmlformats.org/officeDocument/2006/relationships/hyperlink" Target="https://isim.asu.edu"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rcalhou" TargetMode="External" Id="rId47"/><Relationship Type="http://schemas.openxmlformats.org/officeDocument/2006/relationships/hyperlink" Target="https://scholar.google.com/citations?view_op=search_authors&amp;mauthors=Ronald%20Calhoun%20Arizona%20State%20University" TargetMode="External" Id="rId48"/><Relationship Type="http://schemas.openxmlformats.org/officeDocument/2006/relationships/hyperlink" Target="mailto:Ronald.Calhoun@asu.edu" TargetMode="External" Id="rId49"/><Relationship Type="http://schemas.openxmlformats.org/officeDocument/2006/relationships/hyperlink" Target="https://windlab.engineering.asu.edu/ronald-calhoun/" TargetMode="External" Id="rId50"/><Relationship Type="http://schemas.openxmlformats.org/officeDocument/2006/relationships/hyperlink" Target="https://faculty.engineering.asu.edu/directory/semte/aerospace-and-mechanical-engineering/" TargetMode="External" Id="rId51"/><Relationship Type="http://schemas.openxmlformats.org/officeDocument/2006/relationships/hyperlink" Target="https://search.asu.edu/profile/lwang78" TargetMode="External" Id="rId52"/><Relationship Type="http://schemas.openxmlformats.org/officeDocument/2006/relationships/hyperlink" Target="https://scholar.google.com/citations?view_op=search_authors&amp;mauthors=Liping%20Wang%20Arizona%20State%20University" TargetMode="External" Id="rId53"/><Relationship Type="http://schemas.openxmlformats.org/officeDocument/2006/relationships/hyperlink" Target="mailto:Liping.Wang@asu.edu" TargetMode="External" Id="rId54"/><Relationship Type="http://schemas.openxmlformats.org/officeDocument/2006/relationships/hyperlink" Target="http://faculty.engineering.asu.edu/lpwang" TargetMode="External" Id="rId55"/><Relationship Type="http://schemas.openxmlformats.org/officeDocument/2006/relationships/hyperlink" Target="https://faculty.engineering.asu.edu/directory/semte/aerospace-and-mechanical-engineering/" TargetMode="External" Id="rId56"/><Relationship Type="http://schemas.openxmlformats.org/officeDocument/2006/relationships/hyperlink" Target="https://search.asu.edu/profile/rywang" TargetMode="External" Id="rId57"/><Relationship Type="http://schemas.openxmlformats.org/officeDocument/2006/relationships/hyperlink" Target="https://scholar.google.com/citations?hl=en&amp;user=LaUdx9gAAAAJ" TargetMode="External" Id="rId58"/><Relationship Type="http://schemas.openxmlformats.org/officeDocument/2006/relationships/hyperlink" Target="mailto:rywang@asu.edu" TargetMode="External" Id="rId59"/><Relationship Type="http://schemas.openxmlformats.org/officeDocument/2006/relationships/hyperlink" Target="http://wang.faculty.asu.edu/"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https://search.asu.edu/profile/attwl" TargetMode="External" Id="rId62"/><Relationship Type="http://schemas.openxmlformats.org/officeDocument/2006/relationships/hyperlink" Target="https://scholar.google.com/citations?view_op=search_authors&amp;mauthors=T.-W.%20Lee%20Arizona%20State%20University" TargetMode="External" Id="rId63"/><Relationship Type="http://schemas.openxmlformats.org/officeDocument/2006/relationships/hyperlink" Target="mailto:ATTWL@asu.edu" TargetMode="External" Id="rId64"/><Relationship Type="http://schemas.openxmlformats.org/officeDocument/2006/relationships/hyperlink" Target="https://faculty.engineering.asu.edu/directory/semte/aerospace-and-mechanical-engineering/" TargetMode="External" Id="rId65"/><Relationship Type="http://schemas.openxmlformats.org/officeDocument/2006/relationships/hyperlink" Target="https://search.asu.edu/profile/tyang123" TargetMode="External" Id="rId66"/><Relationship Type="http://schemas.openxmlformats.org/officeDocument/2006/relationships/hyperlink" Target="https://scholar.google.com/citations?hl=en&amp;user=OmBV67MAAAAJ" TargetMode="External" Id="rId67"/><Relationship Type="http://schemas.openxmlformats.org/officeDocument/2006/relationships/hyperlink" Target="mailto:Tianyu.Yang@asu.edu" TargetMode="External" Id="rId68"/><Relationship Type="http://schemas.openxmlformats.org/officeDocument/2006/relationships/hyperlink" Target="https://faculty.engineering.asu.edu/directory/semte/aerospace-and-mechanical-engineering/" TargetMode="External" Id="rId69"/><Relationship Type="http://schemas.openxmlformats.org/officeDocument/2006/relationships/hyperlink" Target="https://search.asu.edu/profile/bkwon2" TargetMode="External" Id="rId70"/><Relationship Type="http://schemas.openxmlformats.org/officeDocument/2006/relationships/hyperlink" Target="https://scholar.google.com/citations?hl=en&amp;user=fs2d97sAAAAJ" TargetMode="External" Id="rId71"/><Relationship Type="http://schemas.openxmlformats.org/officeDocument/2006/relationships/hyperlink" Target="mailto:kwon@asu.edu" TargetMode="External" Id="rId72"/><Relationship Type="http://schemas.openxmlformats.org/officeDocument/2006/relationships/hyperlink" Target="http://sites.google.com/view/3denergy" TargetMode="External" Id="rId73"/><Relationship Type="http://schemas.openxmlformats.org/officeDocument/2006/relationships/hyperlink" Target="https://faculty.engineering.asu.edu/directory/semte/aerospace-and-mechanical-engineering/" TargetMode="External" Id="rId74"/><Relationship Type="http://schemas.openxmlformats.org/officeDocument/2006/relationships/hyperlink" Target="https://search.asu.edu/profile/pphelan" TargetMode="External" Id="rId75"/><Relationship Type="http://schemas.openxmlformats.org/officeDocument/2006/relationships/hyperlink" Target="https://scholar.google.com/citations?view_op=search_authors&amp;mauthors=Patrick%20Phelan%20Arizona%20State%20University" TargetMode="External" Id="rId76"/><Relationship Type="http://schemas.openxmlformats.org/officeDocument/2006/relationships/hyperlink" Target="mailto:phelan@asu.edu" TargetMode="External" Id="rId77"/><Relationship Type="http://schemas.openxmlformats.org/officeDocument/2006/relationships/hyperlink" Target="https://faculty.engineering.asu.edu/directory/semte/aerospace-and-mechanical-engineering/" TargetMode="External" Id="rId78"/><Relationship Type="http://schemas.openxmlformats.org/officeDocument/2006/relationships/hyperlink" Target="https://search.asu.edu/profile/krykacze" TargetMode="External" Id="rId79"/><Relationship Type="http://schemas.openxmlformats.org/officeDocument/2006/relationships/hyperlink" Target="https://scholar.google.com/citations?hl=en&amp;user=SWeAf4UAAAAJ" TargetMode="External" Id="rId80"/><Relationship Type="http://schemas.openxmlformats.org/officeDocument/2006/relationships/hyperlink" Target="mailto:konradr@asu.edu" TargetMode="External" Id="rId81"/><Relationship Type="http://schemas.openxmlformats.org/officeDocument/2006/relationships/hyperlink" Target="http://faculty.engineering.asu.edu/konrad/" TargetMode="External" Id="rId82"/><Relationship Type="http://schemas.openxmlformats.org/officeDocument/2006/relationships/hyperlink" Target="https://faculty.engineering.asu.edu/directory/semte/aerospace-and-mechanical-engineering/" TargetMode="External" Id="rId83"/><Relationship Type="http://schemas.openxmlformats.org/officeDocument/2006/relationships/hyperlink" Target="https://search.asu.edu/profile/joswald1" TargetMode="External" Id="rId84"/><Relationship Type="http://schemas.openxmlformats.org/officeDocument/2006/relationships/hyperlink" Target="https://scholar.google.com/citations?view_op=search_authors&amp;mauthors=Jay%20Oswald%20Arizona%20State%20University" TargetMode="External" Id="rId85"/><Relationship Type="http://schemas.openxmlformats.org/officeDocument/2006/relationships/hyperlink" Target="mailto:joswald1@asu.edu" TargetMode="External" Id="rId86"/><Relationship Type="http://schemas.openxmlformats.org/officeDocument/2006/relationships/hyperlink" Target="http://sparky.fulton.asu.edu/oswald/"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https://search.asu.edu/profile/chattopa" TargetMode="External" Id="rId89"/><Relationship Type="http://schemas.openxmlformats.org/officeDocument/2006/relationships/hyperlink" Target="https://scholar.google.com/citations?hl=en&amp;user=w3fU9E0AAAAJ" TargetMode="External" Id="rId90"/><Relationship Type="http://schemas.openxmlformats.org/officeDocument/2006/relationships/hyperlink" Target="mailto:aditi@asu.edu"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https://search.asu.edu/profile/ljannesa" TargetMode="External" Id="rId93"/><Relationship Type="http://schemas.openxmlformats.org/officeDocument/2006/relationships/hyperlink" Target="https://scholar.google.com/citations?view_op=search_authors&amp;mauthors=Leila%20Ladani%20Arizona%20State%20University" TargetMode="External" Id="rId94"/><Relationship Type="http://schemas.openxmlformats.org/officeDocument/2006/relationships/hyperlink" Target="mailto:ladani@asu.edu" TargetMode="External" Id="rId95"/><Relationship Type="http://schemas.openxmlformats.org/officeDocument/2006/relationships/hyperlink" Target="https://magic.asu.edu/"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https://search.asu.edu/profile/hzhuang7" TargetMode="External" Id="rId98"/><Relationship Type="http://schemas.openxmlformats.org/officeDocument/2006/relationships/hyperlink" Target="https://scholar.google.com/citations?hl=en&amp;user=4yYKCpUAAAAJ" TargetMode="External" Id="rId99"/><Relationship Type="http://schemas.openxmlformats.org/officeDocument/2006/relationships/hyperlink" Target="mailto:zhuanghl@asu.edu" TargetMode="External" Id="rId100"/><Relationship Type="http://schemas.openxmlformats.org/officeDocument/2006/relationships/hyperlink" Target="https://faculty.engineering.asu.edu/directory/semte/aerospace-and-mechanical-engineering/" TargetMode="External" Id="rId101"/><Relationship Type="http://schemas.openxmlformats.org/officeDocument/2006/relationships/hyperlink" Target="https://search.asu.edu/profile/jrajago1" TargetMode="External" Id="rId102"/><Relationship Type="http://schemas.openxmlformats.org/officeDocument/2006/relationships/hyperlink" Target="https://scholar.google.com/citations?hl=en&amp;user=ClqRIhIAAAAJ" TargetMode="External" Id="rId103"/><Relationship Type="http://schemas.openxmlformats.org/officeDocument/2006/relationships/hyperlink" Target="mailto:Jagannathan.Rajagopalan@asu.edu" TargetMode="External" Id="rId104"/><Relationship Type="http://schemas.openxmlformats.org/officeDocument/2006/relationships/hyperlink" Target="http://faculty.engineering.asu.edu/jagan/" TargetMode="External" Id="rId105"/><Relationship Type="http://schemas.openxmlformats.org/officeDocument/2006/relationships/hyperlink" Target="https://faculty.engineering.asu.edu/directory/semte/aerospace-and-mechanical-engineering/" TargetMode="External" Id="rId106"/><Relationship Type="http://schemas.openxmlformats.org/officeDocument/2006/relationships/hyperlink" Target="https://search.asu.edu/profile/mingleiq" TargetMode="External" Id="rId107"/><Relationship Type="http://schemas.openxmlformats.org/officeDocument/2006/relationships/hyperlink" Target="https://scholar.google.com/citations?hl=en&amp;user=9LWNC50AAAAJ" TargetMode="External" Id="rId108"/><Relationship Type="http://schemas.openxmlformats.org/officeDocument/2006/relationships/hyperlink" Target="mailto:minglei.qu@asu.edu" TargetMode="External" Id="rId109"/><Relationship Type="http://schemas.openxmlformats.org/officeDocument/2006/relationships/hyperlink" Target="https://faculty.engineering.asu.edu/directory/semte/aerospace-and-mechanical-engineering/" TargetMode="External" Id="rId110"/><Relationship Type="http://schemas.openxmlformats.org/officeDocument/2006/relationships/hyperlink" Target="https://search.asu.edu/profile/qnian" TargetMode="External" Id="rId111"/><Relationship Type="http://schemas.openxmlformats.org/officeDocument/2006/relationships/hyperlink" Target="https://scholar.google.com/citations?view_op=search_authors&amp;mauthors=Qiong%20Nian%20Arizona%20State%20University" TargetMode="External" Id="rId112"/><Relationship Type="http://schemas.openxmlformats.org/officeDocument/2006/relationships/hyperlink" Target="mailto:Qiong.Nian@asu.edu" TargetMode="External" Id="rId113"/><Relationship Type="http://schemas.openxmlformats.org/officeDocument/2006/relationships/hyperlink" Target="https://mmmplab.engineering.asu.edu/" TargetMode="External" Id="rId114"/><Relationship Type="http://schemas.openxmlformats.org/officeDocument/2006/relationships/hyperlink" Target="https://faculty.engineering.asu.edu/directory/semte/aerospace-and-mechanical-engineering/" TargetMode="External" Id="rId115"/><Relationship Type="http://schemas.openxmlformats.org/officeDocument/2006/relationships/hyperlink" Target="https://search.asu.edu/profile/yliu35" TargetMode="External" Id="rId116"/><Relationship Type="http://schemas.openxmlformats.org/officeDocument/2006/relationships/hyperlink" Target="https://scholar.google.com/citations?view_op=search_authors&amp;mauthors=Yongming%20Liu%20Arizona%20State%20University" TargetMode="External" Id="rId117"/><Relationship Type="http://schemas.openxmlformats.org/officeDocument/2006/relationships/hyperlink" Target="mailto:Yongming.Liu@asu.edu" TargetMode="External" Id="rId118"/><Relationship Type="http://schemas.openxmlformats.org/officeDocument/2006/relationships/hyperlink" Target="https://faculty.engineering.asu.edu/directory/semte/aerospace-and-mechanical-engineering/" TargetMode="External" Id="rId119"/><Relationship Type="http://schemas.openxmlformats.org/officeDocument/2006/relationships/hyperlink" Target="https://search.asu.edu/profile/xiangji5" TargetMode="External" Id="rId120"/><Relationship Type="http://schemas.openxmlformats.org/officeDocument/2006/relationships/hyperlink" Target="https://scholar.google.com/citations?hl=en&amp;user=tGQzHJIAAAAJ" TargetMode="External" Id="rId121"/><Relationship Type="http://schemas.openxmlformats.org/officeDocument/2006/relationships/hyperlink" Target="mailto:xiangjia.li@asu.edu" TargetMode="External" Id="rId122"/><Relationship Type="http://schemas.openxmlformats.org/officeDocument/2006/relationships/hyperlink" Target="https://www.cindyxjli.com/" TargetMode="External" Id="rId123"/><Relationship Type="http://schemas.openxmlformats.org/officeDocument/2006/relationships/hyperlink" Target="https://faculty.engineering.asu.edu/directory/semte/aerospace-and-mechanical-engineering/" TargetMode="External" Id="rId124"/><Relationship Type="http://schemas.openxmlformats.org/officeDocument/2006/relationships/hyperlink" Target="https://search.asu.edu/profile/linli25" TargetMode="External" Id="rId125"/><Relationship Type="http://schemas.openxmlformats.org/officeDocument/2006/relationships/hyperlink" Target="https://scholar.google.com/citations?view_op=search_authors&amp;mauthors=Lin%20Li%20Arizona%20State%20University" TargetMode="External" Id="rId126"/><Relationship Type="http://schemas.openxmlformats.org/officeDocument/2006/relationships/hyperlink" Target="mailto:Lin.Li.10@asu.edu" TargetMode="External" Id="rId127"/><Relationship Type="http://schemas.openxmlformats.org/officeDocument/2006/relationships/hyperlink" Target="https://faculty.engineering.asu.edu/directory/semte/aerospace-and-mechanical-engineering/" TargetMode="External" Id="rId128"/><Relationship Type="http://schemas.openxmlformats.org/officeDocument/2006/relationships/hyperlink" Target="https://search.asu.edu/profile/pperalta" TargetMode="External" Id="rId129"/><Relationship Type="http://schemas.openxmlformats.org/officeDocument/2006/relationships/hyperlink" Target="https://scholar.google.com/citations?view_op=search_authors&amp;mauthors=Pedro%20Peralta%20Arizona%20State%20University" TargetMode="External" Id="rId130"/><Relationship Type="http://schemas.openxmlformats.org/officeDocument/2006/relationships/hyperlink" Target="mailto:pperalta@asu.edu" TargetMode="External" Id="rId131"/><Relationship Type="http://schemas.openxmlformats.org/officeDocument/2006/relationships/hyperlink" Target="https://faculty.engineering.asu.edu/pperalta/" TargetMode="External" Id="rId132"/><Relationship Type="http://schemas.openxmlformats.org/officeDocument/2006/relationships/hyperlink" Target="https://faculty.engineering.asu.edu/directory/semte/aerospace-and-mechanical-engineering/" TargetMode="External" Id="rId133"/><Relationship Type="http://schemas.openxmlformats.org/officeDocument/2006/relationships/hyperlink" Target="https://search.asu.edu/profile/wkang16" TargetMode="External" Id="rId134"/><Relationship Type="http://schemas.openxmlformats.org/officeDocument/2006/relationships/hyperlink" Target="https://scholar.google.com/citations?hl=en&amp;user=bHyyOTAAAAAJ" TargetMode="External" Id="rId135"/><Relationship Type="http://schemas.openxmlformats.org/officeDocument/2006/relationships/hyperlink" Target="mailto:Wonmo.Kang@asu.edu" TargetMode="External" Id="rId136"/><Relationship Type="http://schemas.openxmlformats.org/officeDocument/2006/relationships/hyperlink" Target="https://wonmokang3.wixsite.com/website" TargetMode="External" Id="rId137"/><Relationship Type="http://schemas.openxmlformats.org/officeDocument/2006/relationships/hyperlink" Target="https://faculty.engineering.asu.edu/directory/semte/aerospace-and-mechanical-engineering/" TargetMode="External" Id="rId138"/><Relationship Type="http://schemas.openxmlformats.org/officeDocument/2006/relationships/hyperlink" Target="https://search.asu.edu/profile/jsun165" TargetMode="External" Id="rId139"/><Relationship Type="http://schemas.openxmlformats.org/officeDocument/2006/relationships/hyperlink" Target="https://scholar.google.com/citations?hl=en&amp;user=fjUoHOsAAAAJ" TargetMode="External" Id="rId140"/><Relationship Type="http://schemas.openxmlformats.org/officeDocument/2006/relationships/hyperlink" Target="mailto:Jiefeng.Sun@asu.edu" TargetMode="External" Id="rId141"/><Relationship Type="http://schemas.openxmlformats.org/officeDocument/2006/relationships/hyperlink" Target="https://sunroboticslab.github.io" TargetMode="External" Id="rId142"/><Relationship Type="http://schemas.openxmlformats.org/officeDocument/2006/relationships/hyperlink" Target="https://faculty.engineering.asu.edu/directory/semte/aerospace-and-mechanical-engineering/" TargetMode="External" Id="rId143"/><Relationship Type="http://schemas.openxmlformats.org/officeDocument/2006/relationships/hyperlink" Target="https://search.asu.edu/profile/kgarg24" TargetMode="External" Id="rId144"/><Relationship Type="http://schemas.openxmlformats.org/officeDocument/2006/relationships/hyperlink" Target="https://scholar.google.com/citations?hl=en&amp;user=vs3pl-8AAAAJ" TargetMode="External" Id="rId145"/><Relationship Type="http://schemas.openxmlformats.org/officeDocument/2006/relationships/hyperlink" Target="mailto:kgarg24@asu.edu" TargetMode="External" Id="rId146"/><Relationship Type="http://schemas.openxmlformats.org/officeDocument/2006/relationships/hyperlink" Target="https://sites.google.com/asu.edu/kunalgarg/" TargetMode="External" Id="rId147"/><Relationship Type="http://schemas.openxmlformats.org/officeDocument/2006/relationships/hyperlink" Target="https://faculty.engineering.asu.edu/directory/semte/aerospace-and-mechanical-engineering/" TargetMode="External" Id="rId148"/><Relationship Type="http://schemas.openxmlformats.org/officeDocument/2006/relationships/hyperlink" Target="https://search.asu.edu/profile/smberma2" TargetMode="External" Id="rId149"/><Relationship Type="http://schemas.openxmlformats.org/officeDocument/2006/relationships/hyperlink" Target="https://scholar.google.com/citations?hl=en&amp;user=KKup0OgAAAAJ" TargetMode="External" Id="rId150"/><Relationship Type="http://schemas.openxmlformats.org/officeDocument/2006/relationships/hyperlink" Target="mailto:Spring.Berman@asu.edu" TargetMode="External" Id="rId151"/><Relationship Type="http://schemas.openxmlformats.org/officeDocument/2006/relationships/hyperlink" Target="http://faculty.engineering.asu.edu/acs/" TargetMode="External" Id="rId152"/><Relationship Type="http://schemas.openxmlformats.org/officeDocument/2006/relationships/hyperlink" Target="https://faculty.engineering.asu.edu/directory/semte/aerospace-and-mechanical-engineering/" TargetMode="External" Id="rId153"/><Relationship Type="http://schemas.openxmlformats.org/officeDocument/2006/relationships/hyperlink" Target="https://search.asu.edu/profile/xzhe1" TargetMode="External" Id="rId154"/><Relationship Type="http://schemas.openxmlformats.org/officeDocument/2006/relationships/hyperlink" Target="https://scholar.google.com/citations?view_op=search_authors&amp;mauthors=Zhe%20Xu%20Arizona%20State%20University" TargetMode="External" Id="rId155"/><Relationship Type="http://schemas.openxmlformats.org/officeDocument/2006/relationships/hyperlink" Target="mailto:xzhe1@asu.edu" TargetMode="External" Id="rId156"/><Relationship Type="http://schemas.openxmlformats.org/officeDocument/2006/relationships/hyperlink" Target="https://sites.google.com/site/zhexudavid00710/research?authuser=0" TargetMode="External" Id="rId157"/><Relationship Type="http://schemas.openxmlformats.org/officeDocument/2006/relationships/hyperlink" Target="https://faculty.engineering.asu.edu/directory/semte/aerospace-and-mechanical-engineering/" TargetMode="External" Id="rId158"/><Relationship Type="http://schemas.openxmlformats.org/officeDocument/2006/relationships/hyperlink" Target="https://search.asu.edu/profile/mpeet" TargetMode="External" Id="rId159"/><Relationship Type="http://schemas.openxmlformats.org/officeDocument/2006/relationships/hyperlink" Target="https://scholar.google.com/citations?hl=en&amp;user=l7umOqMAAAAJ" TargetMode="External" Id="rId160"/><Relationship Type="http://schemas.openxmlformats.org/officeDocument/2006/relationships/hyperlink" Target="mailto:mpeet@asu.edu" TargetMode="External" Id="rId161"/><Relationship Type="http://schemas.openxmlformats.org/officeDocument/2006/relationships/hyperlink" Target="http://control.asu.edu/"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https://search.asu.edu/profile/hmarvi" TargetMode="External" Id="rId164"/><Relationship Type="http://schemas.openxmlformats.org/officeDocument/2006/relationships/hyperlink" Target="https://scholar.google.com/citations?hl=en&amp;user=00Fepb0AAAAJ" TargetMode="External" Id="rId165"/><Relationship Type="http://schemas.openxmlformats.org/officeDocument/2006/relationships/hyperlink" Target="mailto:hmarvi@asu.edu" TargetMode="External" Id="rId166"/><Relationship Type="http://schemas.openxmlformats.org/officeDocument/2006/relationships/hyperlink" Target="http://birth.asu.edu"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https://search.asu.edu/profile/hlee234" TargetMode="External" Id="rId169"/><Relationship Type="http://schemas.openxmlformats.org/officeDocument/2006/relationships/hyperlink" Target="https://scholar.google.com/citations?view_op=search_authors&amp;mauthors=Hyunglae%20Lee%20Arizona%20State%20University" TargetMode="External" Id="rId170"/><Relationship Type="http://schemas.openxmlformats.org/officeDocument/2006/relationships/hyperlink" Target="mailto:Hyunglae.Lee@asu.edu" TargetMode="External" Id="rId171"/><Relationship Type="http://schemas.openxmlformats.org/officeDocument/2006/relationships/hyperlink" Target="https://faculty.engineering.asu.edu/hlee" TargetMode="External" Id="rId172"/><Relationship Type="http://schemas.openxmlformats.org/officeDocument/2006/relationships/hyperlink" Target="https://faculty.engineering.asu.edu/directory/semte/aerospace-and-mechanical-engineering/" TargetMode="External" Id="rId173"/><Relationship Type="http://schemas.openxmlformats.org/officeDocument/2006/relationships/hyperlink" Target="https://search.asu.edu/profile/hhuang38" TargetMode="External" Id="rId174"/><Relationship Type="http://schemas.openxmlformats.org/officeDocument/2006/relationships/hyperlink" Target="https://scholar.google.com/citations?view_op=search_authors&amp;mauthors=Huei-Ping%20Huang%20Arizona%20State%20University" TargetMode="External" Id="rId175"/><Relationship Type="http://schemas.openxmlformats.org/officeDocument/2006/relationships/hyperlink" Target="mailto:Huei-Ping.Huang@asu.edu" TargetMode="External" Id="rId176"/><Relationship Type="http://schemas.openxmlformats.org/officeDocument/2006/relationships/hyperlink" Target="http://www.public.asu.edu/~hhuang38"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wjin34" TargetMode="External" Id="rId179"/><Relationship Type="http://schemas.openxmlformats.org/officeDocument/2006/relationships/hyperlink" Target="https://scholar.google.com/citations?hl=en&amp;user=SoEC4h4AAAAJ" TargetMode="External" Id="rId180"/><Relationship Type="http://schemas.openxmlformats.org/officeDocument/2006/relationships/hyperlink" Target="mailto:wjin@asu.edu" TargetMode="External" Id="rId181"/><Relationship Type="http://schemas.openxmlformats.org/officeDocument/2006/relationships/hyperlink" Target="https://irislab.tech/" TargetMode="External" Id="rId182"/><Relationship Type="http://schemas.openxmlformats.org/officeDocument/2006/relationships/hyperlink" Target="https://github.com/asu-iris" TargetMode="External" Id="rId183"/><Relationship Type="http://schemas.openxmlformats.org/officeDocument/2006/relationships/hyperlink" Target="https://faculty.engineering.asu.edu/directory/semte/aerospace-and-mechanical-engineering/" TargetMode="External" Id="rId184"/><Relationship Type="http://schemas.openxmlformats.org/officeDocument/2006/relationships/hyperlink" Target="https://search.asu.edu/profile/jimbo" TargetMode="External" Id="rId185"/><Relationship Type="http://schemas.openxmlformats.org/officeDocument/2006/relationships/hyperlink" Target="https://scholar.google.com/citations?view_op=search_authors&amp;mauthors=James%20Middleton%20Arizona%20State%20University" TargetMode="External" Id="rId186"/><Relationship Type="http://schemas.openxmlformats.org/officeDocument/2006/relationships/hyperlink" Target="mailto:jimbo@asu.edu" TargetMode="External" Id="rId187"/><Relationship Type="http://schemas.openxmlformats.org/officeDocument/2006/relationships/hyperlink" Target="https://faculty.engineering.asu.edu/directory/semte/aerospace-and-mechanical-engineering/" TargetMode="External" Id="rId188"/><Relationship Type="http://schemas.openxmlformats.org/officeDocument/2006/relationships/hyperlink" Target="https://search.asu.edu/profile/marc03" TargetMode="External" Id="rId189"/><Relationship Type="http://schemas.openxmlformats.org/officeDocument/2006/relationships/hyperlink" Target="https://scholar.google.com/citations?view_op=search_authors&amp;mauthors=Marc%20Mignolet%20Arizona%20State%20University" TargetMode="External" Id="rId190"/><Relationship Type="http://schemas.openxmlformats.org/officeDocument/2006/relationships/hyperlink" Target="mailto:marc.mignolet@asu.edu"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dspeaks2" TargetMode="External" Id="rId197"/><Relationship Type="http://schemas.openxmlformats.org/officeDocument/2006/relationships/hyperlink" Target="https://scholar.google.com/citations?view_op=search_authors&amp;mauthors=Derrick%20Speaks%20Arizona%20State%20University" TargetMode="External" Id="rId198"/><Relationship Type="http://schemas.openxmlformats.org/officeDocument/2006/relationships/hyperlink" Target="mailto:Derrick.Speaks@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ejande22" TargetMode="External" Id="rId201"/><Relationship Type="http://schemas.openxmlformats.org/officeDocument/2006/relationships/hyperlink" Target="https://scholar.google.com/citations?view_op=search_authors&amp;mauthors=Erik%20Andersen%20Arizona%20State%20University" TargetMode="External" Id="rId202"/><Relationship Type="http://schemas.openxmlformats.org/officeDocument/2006/relationships/hyperlink" Target="mailto:Erik.J.Andersen@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iychang" TargetMode="External" Id="rId205"/><Relationship Type="http://schemas.openxmlformats.org/officeDocument/2006/relationships/hyperlink" Target="https://scholar.google.com/citations?view_op=search_authors&amp;mauthors=Ivy%20Chang%20Arizona%20State%20University" TargetMode="External" Id="rId206"/><Relationship Type="http://schemas.openxmlformats.org/officeDocument/2006/relationships/hyperlink" Target="mailto:Ivy.Chang@asu.edu"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https://search.asu.edu/profile/jdwilbu1" TargetMode="External" Id="rId209"/><Relationship Type="http://schemas.openxmlformats.org/officeDocument/2006/relationships/hyperlink" Target="https://scholar.google.com/citations?view_op=search_authors&amp;mauthors=Joshua%20Wilbur%20Arizona%20State%20University" TargetMode="External" Id="rId210"/><Relationship Type="http://schemas.openxmlformats.org/officeDocument/2006/relationships/hyperlink" Target="mailto:Joshua.Wilbur@asu.edu"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https://search.asu.edu/profile/rcruzloz" TargetMode="External" Id="rId213"/><Relationship Type="http://schemas.openxmlformats.org/officeDocument/2006/relationships/hyperlink" Target="https://scholar.google.com/citations?view_op=search_authors&amp;mauthors=Ricardo%20Cruz%20Lozano%20Arizona%20State%20University" TargetMode="External" Id="rId214"/><Relationship Type="http://schemas.openxmlformats.org/officeDocument/2006/relationships/hyperlink" Target="mailto:Ricardo.Cruz.Lozano@asu.edu"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https://search.asu.edu/profile/skosara2" TargetMode="External" Id="rId217"/><Relationship Type="http://schemas.openxmlformats.org/officeDocument/2006/relationships/hyperlink" Target="https://scholar.google.com/citations?view_op=search_authors&amp;mauthors=Srinivas%20Chakravarthi%20Kosaraju%20Arizona%20State%20University" TargetMode="External" Id="rId218"/><Relationship Type="http://schemas.openxmlformats.org/officeDocument/2006/relationships/hyperlink" Target="mailto:Srinivas.Kosaraju@asu.edu" TargetMode="External" Id="rId219"/><Relationship Type="http://schemas.openxmlformats.org/officeDocument/2006/relationships/hyperlink" Target="https://faculty.engineering.asu.edu/directory/semte/aerospace-and-mechanical-engineering/" TargetMode="External" Id="rId220"/></Relationships>
</file>

<file path=xl/worksheets/sheet1.xml><?xml version="1.0" encoding="utf-8"?>
<worksheet xmlns="http://schemas.openxmlformats.org/spreadsheetml/2006/main">
  <sheetPr>
    <outlinePr summaryBelow="1" summaryRight="1"/>
    <pageSetUpPr/>
  </sheetPr>
  <dimension ref="A1:AI12"/>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45" customWidth="1" min="10" max="10"/>
    <col width="17"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49" customWidth="1" min="26" max="26"/>
    <col width="65" customWidth="1" min="27" max="27"/>
    <col width="33" customWidth="1" min="28" max="28"/>
    <col width="30" customWidth="1" min="29" max="29"/>
    <col width="20" customWidth="1" min="30" max="30"/>
    <col width="49" customWidth="1" min="31" max="31"/>
    <col width="56" customWidth="1" min="32" max="32"/>
    <col width="65" customWidth="1" min="33" max="33"/>
    <col width="18" customWidth="1" min="34" max="34"/>
    <col width="49" customWidth="1" min="35" max="35"/>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Latest Paper / Publication</t>
        </is>
      </c>
      <c r="N1" s="1" t="inlineStr">
        <is>
          <t>Recent Papers (2024-2026)</t>
        </is>
      </c>
      <c r="O1" s="1" t="inlineStr">
        <is>
          <t>Top Cited Papers</t>
        </is>
      </c>
      <c r="P1" s="1" t="inlineStr">
        <is>
          <t>Courses Taught</t>
        </is>
      </c>
      <c r="Q1" s="1" t="inlineStr">
        <is>
          <t>Recent Awards / Honors</t>
        </is>
      </c>
      <c r="R1" s="1" t="inlineStr">
        <is>
          <t>Cold Email / Application Instructions</t>
        </is>
      </c>
      <c r="S1" s="1" t="inlineStr">
        <is>
          <t>OpenAlex Research Topics</t>
        </is>
      </c>
      <c r="T1" s="1" t="inlineStr">
        <is>
          <t>Google Scholar Tags</t>
        </is>
      </c>
      <c r="U1" s="1" t="inlineStr">
        <is>
          <t>Research Interests</t>
        </is>
      </c>
      <c r="V1" s="1" t="inlineStr">
        <is>
          <t>Expertise Areas</t>
        </is>
      </c>
      <c r="W1" s="1" t="inlineStr">
        <is>
          <t>Research / Bio Summary</t>
        </is>
      </c>
      <c r="X1" s="1" t="inlineStr">
        <is>
          <t>Education / Degrees</t>
        </is>
      </c>
      <c r="Y1" s="1" t="inlineStr">
        <is>
          <t>Lab / Research Group Name</t>
        </is>
      </c>
      <c r="Z1" s="1" t="inlineStr">
        <is>
          <t>Lab / Personal Website</t>
        </is>
      </c>
      <c r="AA1" s="1" t="inlineStr">
        <is>
          <t>Actively Hiring / Openings</t>
        </is>
      </c>
      <c r="AB1" s="1" t="inlineStr">
        <is>
          <t>Target Skills / Prerequisites</t>
        </is>
      </c>
      <c r="AC1" s="1" t="inlineStr">
        <is>
          <t>Lab Facilities &amp; Equipment</t>
        </is>
      </c>
      <c r="AD1" s="1" t="inlineStr">
        <is>
          <t>Funding Sponsors</t>
        </is>
      </c>
      <c r="AE1" s="1" t="inlineStr">
        <is>
          <t>Software / Code Repo</t>
        </is>
      </c>
      <c r="AF1" s="1" t="inlineStr">
        <is>
          <t>Latest Project / Highlight</t>
        </is>
      </c>
      <c r="AG1" s="1" t="inlineStr">
        <is>
          <t>Office Location</t>
        </is>
      </c>
      <c r="AH1" s="1" t="inlineStr">
        <is>
          <t>Is Field Match</t>
        </is>
      </c>
      <c r="AI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Refereed Journal Papers M. H. Kasbaoui and M. Herrmann, A high-fidelity methodology for particle-resolved direct numerical simu...</t>
        </is>
      </c>
      <c r="N2" s="2" t="inlineStr"/>
      <c r="O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P2" s="2" t="inlineStr">
        <is>
          <t>MAE 242: Intro to Fluid Mechanics | MAE 574: Multiphase Flow | MAE 501: Linear Algebra in Engineering</t>
        </is>
      </c>
      <c r="Q2" s="2" t="inlineStr"/>
      <c r="R2" s="2" t="inlineStr"/>
      <c r="S2" s="2" t="inlineStr">
        <is>
          <t>Particle Dynamics in Fluid Flows (22) | Fluid Dynamics and Turbulent Flows (19) | Granular flow and fluidized beds (14)</t>
        </is>
      </c>
      <c r="T2" s="2" t="inlineStr">
        <is>
          <t>Particle Dynamics in Fluid Flows (22) | Fluid Dynamics and Turbulent Flows (19) | Granular flow and fluidized beds (14)</t>
        </is>
      </c>
      <c r="U2" s="2" t="inlineStr"/>
      <c r="V2" s="2" t="inlineStr"/>
      <c r="W2" s="2" t="inlineStr">
        <is>
          <t>Kasbaoui's research interests include computational fluid dynamics, numerical methods, and massively parallel simulations of multiphase and particle-laden flows for environmental and aerospace applications.</t>
        </is>
      </c>
      <c r="X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Y2" s="2" t="inlineStr">
        <is>
          <t>Multiphase Flow and Fluid-Structure Interaction Group</t>
        </is>
      </c>
      <c r="Z2" s="3">
        <f>HYPERLINK("https://kasbaoui.bitbucket.io", "https://kasbaoui.bitbucket.io")</f>
        <v/>
      </c>
      <c r="AA2" s="2" t="inlineStr"/>
      <c r="AB2" s="2" t="inlineStr">
        <is>
          <t>CFD</t>
        </is>
      </c>
      <c r="AC2" s="2" t="inlineStr"/>
      <c r="AD2" s="2" t="inlineStr">
        <is>
          <t>AFOSR</t>
        </is>
      </c>
      <c r="AE2" s="3">
        <f>HYPERLINK("https://bitbucket.org/krgasu/leap/downloads/leap-v0.8.2.tar.gz", "https://bitbucket.org/krgasu/leap/downloads/leap-v0.8.2.tar.gz, https://bitbucket.org/krgasu/leap/src/master")</f>
        <v/>
      </c>
      <c r="AF2" s="2" t="inlineStr">
        <is>
          <t>School for Engineering of Matter, Transport &amp; Energy</t>
        </is>
      </c>
      <c r="AG2" s="2" t="inlineStr">
        <is>
          <t>Campus: Tempe</t>
        </is>
      </c>
      <c r="AH2" s="2" t="b">
        <v>1</v>
      </c>
      <c r="AI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c r="N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O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P3" s="2" t="inlineStr">
        <is>
          <t>MAE 242: Intro to Fluid Mechanics | MAE 384: Adv Math Methods for Engineers | MAE 501: Linear Algebra in Engineering</t>
        </is>
      </c>
      <c r="Q3" s="2" t="inlineStr"/>
      <c r="R3" s="2" t="inlineStr"/>
      <c r="S3" s="2" t="inlineStr">
        <is>
          <t>Fluid Dynamics and Thin Films (12) | Rheology and Fluid Dynamics Studies (11) | Hydraulic Fracturing and Reservoir Analysis (7)</t>
        </is>
      </c>
      <c r="T3" s="2" t="inlineStr">
        <is>
          <t>Fluid Dynamics and Thin Films (12) | Rheology and Fluid Dynamics Studies (11) | Hydraulic Fracturing and Reservoir Analysis (7)</t>
        </is>
      </c>
      <c r="U3" s="2" t="inlineStr"/>
      <c r="V3" s="2" t="inlineStr"/>
      <c r="W3" s="2" t="inlineStr">
        <is>
          <t>Chen’s research interests include multiphase flows, drag reduction, airplane de-icing, interfacial instabilities and flow in porous media.</t>
        </is>
      </c>
      <c r="X3" s="2" t="inlineStr">
        <is>
          <t>Ph.D. Fluid Mechanics, University of Minnesota 1990 | B.S. Mechanics, Peking University, China 1982</t>
        </is>
      </c>
      <c r="Y3" s="2" t="inlineStr"/>
      <c r="Z3" s="2" t="inlineStr"/>
      <c r="AA3" s="2" t="inlineStr"/>
      <c r="AB3" s="2" t="inlineStr"/>
      <c r="AC3" s="2" t="inlineStr"/>
      <c r="AD3" s="2" t="inlineStr"/>
      <c r="AE3" s="2" t="inlineStr"/>
      <c r="AF3" s="2" t="inlineStr"/>
      <c r="AG3" s="2" t="inlineStr">
        <is>
          <t>ENGRC 361 (TEMPE, AZ 85287-6106)</t>
        </is>
      </c>
      <c r="AH3" s="2" t="b">
        <v>1</v>
      </c>
      <c r="AI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c r="N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O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P4" s="2" t="inlineStr">
        <is>
          <t>MAE 242: Intro to Fluid Mechanics | MAE 593: Applied Project | MAE 564: Advanced Aerodynamics</t>
        </is>
      </c>
      <c r="Q4" s="2" t="inlineStr"/>
      <c r="R4" s="2" t="inlineStr"/>
      <c r="S4" s="2" t="inlineStr">
        <is>
          <t>Fluid Dynamics and Turbulent Flows (36) | Fluid Dynamics and Vibration Analysis (26) | Biomimetic flight and propulsion mechanisms (24)</t>
        </is>
      </c>
      <c r="T4" s="2" t="inlineStr">
        <is>
          <t>Fluid Dynamics and Turbulent Flows (36) | Fluid Dynamics and Vibration Analysis (26) | Biomimetic flight and propulsion mechanisms (24)</t>
        </is>
      </c>
      <c r="U4" s="2" t="inlineStr">
        <is>
          <t>Unsteady aerodynamics, vortex dynamics, flow control, turbulence, separated flows</t>
        </is>
      </c>
      <c r="V4" s="2" t="inlineStr"/>
      <c r="W4" s="2" t="inlineStr">
        <is>
          <t>Ramesh's expertise is in unsteady fluid dynamics, vortex dynamics, turbulence and flow control.</t>
        </is>
      </c>
      <c r="X4" s="2" t="inlineStr">
        <is>
          <t>PhD North Carolina State University</t>
        </is>
      </c>
      <c r="Y4" s="2" t="inlineStr"/>
      <c r="Z4" s="2" t="inlineStr"/>
      <c r="AA4" s="2" t="inlineStr"/>
      <c r="AB4" s="2" t="inlineStr"/>
      <c r="AC4" s="2" t="inlineStr"/>
      <c r="AD4" s="2" t="inlineStr"/>
      <c r="AE4" s="2" t="inlineStr"/>
      <c r="AF4" s="2" t="inlineStr"/>
      <c r="AG4" s="2" t="inlineStr">
        <is>
          <t>Engineering research centre Room 383 551 E Tyler mall (Tempe, AZ 85281)</t>
        </is>
      </c>
      <c r="AH4" s="2" t="b">
        <v>1</v>
      </c>
      <c r="AI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Search this site Embedded Files Skip to main content Skip to navigation OASIS group at ASU Home Research People Publications Ne...</t>
        </is>
      </c>
      <c r="N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O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P5" s="2" t="inlineStr">
        <is>
          <t>MAE 499: Individualized Instruction | MAE 202: Mech.Particles/Rigid Bodies II | MAE 318: System Dynamics and Control I</t>
        </is>
      </c>
      <c r="Q5" s="2" t="inlineStr"/>
      <c r="R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S5" s="2" t="inlineStr">
        <is>
          <t>Fluid Dynamics and Vibration Analysis (12) | Vibration and Dynamic Analysis (9) | Wind and Air Flow Studies (7)</t>
        </is>
      </c>
      <c r="T5" s="2" t="inlineStr">
        <is>
          <t>Fluid Dynamics and Vibration Analysis (12) | Vibration and Dynamic Analysis (9) | Wind and Air Flow Studies (7)</t>
        </is>
      </c>
      <c r="U5" s="2" t="inlineStr">
        <is>
          <t>Aerodynamics, Dynamical Systems, Machine Learning, Mechanics of Composite Materials</t>
        </is>
      </c>
      <c r="V5" s="2" t="inlineStr">
        <is>
          <t>Aerodynamics, Dynamical Systems, Machine Learning, Mechanics of Composite Materials</t>
        </is>
      </c>
      <c r="W5" s="2" t="inlineStr">
        <is>
          <t>Leixin Ma's career goal is a data-driven and physically consistent approach to modeling and designing programmable smart structures and robots, especially under complex fluid flow conditions.</t>
        </is>
      </c>
      <c r="X5" s="2" t="inlineStr">
        <is>
          <t>Ph.D. in Mechanical Engineering, Massachusetts Institute of Technology, 2021 S.M. in Mechanical Engineering, Massachusetts Institute of Technology, 2017 B.S.E. in Naval Architecture and Ocean Engineering, Shanghai Jiao Tong University, 2015</t>
        </is>
      </c>
      <c r="Y5" s="2" t="inlineStr">
        <is>
          <t>Optimization, Autonomy, and Soft Intelligence Systems (OASIS) Lab</t>
        </is>
      </c>
      <c r="Z5" s="3">
        <f>HYPERLINK("https://sites.google.com/view/oasislabasu", "https://sites.google.com/view/oasislabasu")</f>
        <v/>
      </c>
      <c r="AA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B5" s="2" t="inlineStr"/>
      <c r="AC5" s="2" t="inlineStr">
        <is>
          <t>Towing Tank, FDM</t>
        </is>
      </c>
      <c r="AD5" s="2" t="inlineStr"/>
      <c r="AE5" s="2" t="inlineStr"/>
      <c r="AF5" s="2" t="inlineStr">
        <is>
          <t>Ocean and Soft Intelligent Structure Interaction Lab</t>
        </is>
      </c>
      <c r="AG5" s="2" t="inlineStr">
        <is>
          <t>ERC 485 (Tempe, AZ 85287)</t>
        </is>
      </c>
      <c r="AH5" s="2" t="b">
        <v>1</v>
      </c>
      <c r="AI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There is an open post-doctoral opening starting Fall 2025 in experimental turbulence research . All students interested in join...</t>
        </is>
      </c>
      <c r="N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O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P6" s="2" t="inlineStr">
        <is>
          <t>MAE 575: Turbulence | MAE 593: Applied Project | MAE 499: Individualized Instruction</t>
        </is>
      </c>
      <c r="Q6" s="2" t="inlineStr"/>
      <c r="R6" s="2" t="inlineStr"/>
      <c r="S6" s="2" t="inlineStr">
        <is>
          <t>Fluid Dynamics and Turbulent Flows (40) | Particle Dynamics in Fluid Flows (23) | Laser-Plasma Interactions and Diagnostics (12)</t>
        </is>
      </c>
      <c r="T6" s="2" t="inlineStr">
        <is>
          <t>Fluid Dynamics and Turbulent Flows (40) | Particle Dynamics in Fluid Flows (23) | Laser-Plasma Interactions and Diagnostics (12)</t>
        </is>
      </c>
      <c r="U6" s="2" t="inlineStr">
        <is>
          <t>Aerodynamics, Aerospace Engineering, Mechanical Engineering</t>
        </is>
      </c>
      <c r="V6" s="2" t="inlineStr">
        <is>
          <t>Aerodynamics, Aerospace Engineering, Mechanical Engineering</t>
        </is>
      </c>
      <c r="W6" s="2" t="inlineStr">
        <is>
          <t>Dr. Pathikonda studies turbulent fluid flows to understand natural and engineering phenomena using lab experiments. His expertise is in complex (reacting) mixing, high Re-flows, laser-based &amp; spectroscopic techniques, etc.</t>
        </is>
      </c>
      <c r="X6" s="2" t="inlineStr">
        <is>
          <t>Ph. D. Theoretical and Applied Mechanics, University of Illinois, Urbana Champaign, 2017 | MS Aerospace Engineering, University of Illinois, Urbana Champaign, 2013 | B. Tech. Mechanical Engineering, National Institute of Technology, Warangal, 2009</t>
        </is>
      </c>
      <c r="Y6" s="2" t="inlineStr"/>
      <c r="Z6" s="3">
        <f>HYPERLINK("https://faculty.engineering.asu.edu/cmat/", "https://faculty.engineering.asu.edu/cmat/")</f>
        <v/>
      </c>
      <c r="AA6" s="2" t="inlineStr"/>
      <c r="AB6" s="2" t="inlineStr"/>
      <c r="AC6" s="2" t="inlineStr"/>
      <c r="AD6" s="2" t="inlineStr"/>
      <c r="AE6" s="2" t="inlineStr"/>
      <c r="AF6" s="2" t="inlineStr">
        <is>
          <t>Want to be part of CMAT Lab?</t>
        </is>
      </c>
      <c r="AG6" s="2" t="inlineStr">
        <is>
          <t>551 E Tyler Mall ERC 479 (Tempe, AZ 85281)</t>
        </is>
      </c>
      <c r="AH6" s="2" t="b">
        <v>1</v>
      </c>
      <c r="AI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c r="N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O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P7" s="2" t="inlineStr">
        <is>
          <t>MAE 384: Adv Math Methods for Engineers | MAE 484: Internship | MAE 561: Computational Fluid Dynamics</t>
        </is>
      </c>
      <c r="Q7" s="2" t="inlineStr"/>
      <c r="R7" s="2" t="inlineStr"/>
      <c r="S7" s="2" t="inlineStr">
        <is>
          <t>Fluid Dynamics and Heat Transfer (66) | Fluid Dynamics and Turbulent Flows (27) | Particle Dynamics in Fluid Flows (27)</t>
        </is>
      </c>
      <c r="T7" s="2" t="inlineStr">
        <is>
          <t>Fluid Dynamics and Heat Transfer (66) | Fluid Dynamics and Turbulent Flows (27) | Particle Dynamics in Fluid Flows (27)</t>
        </is>
      </c>
      <c r="U7" s="2" t="inlineStr"/>
      <c r="V7" s="2" t="inlineStr"/>
      <c r="W7" s="2" t="inlineStr">
        <is>
          <t>Herrmann's research interests include fluid mechanics, modeling and numerical simulation of multiphase flows with a focus on turbulent atomization processes, and numerical methods for discontinuous interfaces.</t>
        </is>
      </c>
      <c r="X7" s="2" t="inlineStr">
        <is>
          <t>PhD in Mechanical Engineering, University of Technology (RWTH) Aachen, Germany 2001 | Diploma. Mechanical and Aerospace Engineering, University of Technology (RWTH) Aachen, Germany 1995</t>
        </is>
      </c>
      <c r="Y7" s="2" t="inlineStr">
        <is>
          <t>Computational Multiphase Physics Laboratory</t>
        </is>
      </c>
      <c r="Z7" s="2" t="inlineStr"/>
      <c r="AA7" s="2" t="inlineStr"/>
      <c r="AB7" s="2" t="inlineStr"/>
      <c r="AC7" s="2" t="inlineStr"/>
      <c r="AD7" s="2" t="inlineStr"/>
      <c r="AE7" s="2" t="inlineStr"/>
      <c r="AF7" s="2" t="inlineStr"/>
      <c r="AG7" s="2" t="inlineStr">
        <is>
          <t>ENGRC 311 (TEMPE, AZ 85287-6106)</t>
        </is>
      </c>
      <c r="AH7" s="2" t="b">
        <v>1</v>
      </c>
      <c r="AI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c r="N8" s="2" t="inlineStr"/>
      <c r="O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P8" s="2" t="inlineStr">
        <is>
          <t>MAE 242: Intro to Fluid Mechanics | MAE 593: Applied Project | MAE 598: Special Topics</t>
        </is>
      </c>
      <c r="Q8" s="2" t="inlineStr"/>
      <c r="R8" s="2" t="inlineStr"/>
      <c r="S8" s="2" t="inlineStr">
        <is>
          <t>Aerodynamics and Acoustics in Jet Flows (10) | Fluid Dynamics and Turbulent Flows (8) | Computational Fluid Dynamics and Aerodynamics (3)</t>
        </is>
      </c>
      <c r="T8" s="2" t="inlineStr">
        <is>
          <t>Aerodynamics and Acoustics in Jet Flows (10) | Fluid Dynamics and Turbulent Flows (8) | Computational Fluid Dynamics and Aerodynamics (3)</t>
        </is>
      </c>
      <c r="U8" s="2" t="inlineStr"/>
      <c r="V8" s="2" t="inlineStr"/>
      <c r="W8" s="2" t="inlineStr">
        <is>
          <t>Kim's research interests include large-eddy simulation of high-speed turbulent flows with multi-physics, aeroacoustics, flow control and optimization.</t>
        </is>
      </c>
      <c r="X8" s="2" t="inlineStr">
        <is>
          <t>Ph.D. Theoretical and Applied Mechanics, University of Illinois at Urbana-Champaign | M.S. Mechanical and Aerospace Engineering, Seoul National University, South Korea | B.S. Mechanical and Aerospace Engineering, Seoul National University, South Korea</t>
        </is>
      </c>
      <c r="Y8" s="2" t="inlineStr"/>
      <c r="Z8" s="2" t="inlineStr"/>
      <c r="AA8" s="2" t="inlineStr"/>
      <c r="AB8" s="2" t="inlineStr"/>
      <c r="AC8" s="2" t="inlineStr"/>
      <c r="AD8" s="2" t="inlineStr"/>
      <c r="AE8" s="2" t="inlineStr"/>
      <c r="AF8" s="2" t="inlineStr"/>
      <c r="AG8" s="2" t="inlineStr">
        <is>
          <t>Campus: Tempe</t>
        </is>
      </c>
      <c r="AH8" s="2" t="b">
        <v>1</v>
      </c>
      <c r="AI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Micro-scale Thermal Partial Oxidation Reformer and Integrated Solid Oxide Fuel Cell Operating with Jet Fuel,</t>
        </is>
      </c>
      <c r="N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O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P9" s="2" t="inlineStr">
        <is>
          <t>MAE 593: Applied Project | MAE 436: Combustion | MAE 536: Combustion</t>
        </is>
      </c>
      <c r="Q9" s="2" t="inlineStr">
        <is>
          <t>Outstanding Faculty Mentor, Fulton Schools of Engineering, For the Fulton Forge Student Research programs, 2026 | 1st Place, Student Paper Competition, 2025 ASME IMECE Power Symposium, 2025</t>
        </is>
      </c>
      <c r="R9" s="2" t="inlineStr"/>
      <c r="S9" s="2" t="inlineStr">
        <is>
          <t>Advancements in Solid Oxide Fuel Cells (54) | Fuel Cells and Related Materials (31) | Catalytic Processes in Materials Science (30)</t>
        </is>
      </c>
      <c r="T9" s="2" t="inlineStr">
        <is>
          <t>Advancements in Solid Oxide Fuel Cells (54) | Fuel Cells and Related Materials (31) | Catalytic Processes in Materials Science (30)</t>
        </is>
      </c>
      <c r="U9" s="2" t="inlineStr">
        <is>
          <t>Energy management and efficiency, energy transition, energy storage, solid oxide fuel cells, partial oxidation, cogeneration, combustion, and synthesis of hydrogen</t>
        </is>
      </c>
      <c r="V9" s="2" t="inlineStr">
        <is>
          <t>Ceramics, Electrochemistry, Energy, Energy and Sustainability, Energy Conservation, Energy Economics, Energy Efficiency Technologies, Thin Film Materials</t>
        </is>
      </c>
      <c r="W9" s="2" t="inlineStr">
        <is>
          <t>Milcarek's current research focuses on energy management and efficiency, energy system modeling, energy transition, energy storage, solid oxide fuel cells fabrication and testing, partial oxidation and synthesis of hydrogen.</t>
        </is>
      </c>
      <c r="X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Y9" s="2" t="inlineStr"/>
      <c r="Z9" s="3">
        <f>HYPERLINK("http://RESEARCHGATE.net/profile/Ryan_Milcarek", "http://RESEARCHGATE.net/profile/Ryan_Milcarek")</f>
        <v/>
      </c>
      <c r="AA9" s="2" t="inlineStr"/>
      <c r="AB9" s="2" t="inlineStr"/>
      <c r="AC9" s="2" t="inlineStr"/>
      <c r="AD9" s="2" t="inlineStr"/>
      <c r="AE9" s="2" t="inlineStr"/>
      <c r="AF9" s="2" t="inlineStr"/>
      <c r="AG9" s="2" t="inlineStr">
        <is>
          <t>ENGRC 465 (Tempe, AZ 85287)</t>
        </is>
      </c>
      <c r="AH9" s="2" t="b">
        <v>1</v>
      </c>
      <c r="AI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c r="N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O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P10" s="2" t="inlineStr">
        <is>
          <t>MAE 501: Linear Algebra in Engineering | MAE 215: Intro to Programming in MATLAB | MAE 202: Mech.Particles/Rigid Bodies II</t>
        </is>
      </c>
      <c r="Q10" s="2" t="inlineStr"/>
      <c r="R10" s="2" t="inlineStr"/>
      <c r="S10" s="2" t="inlineStr">
        <is>
          <t>Oceanographic and Atmospheric Processes (64) | Fluid Dynamics and Turbulent Flows (53) | Meteorological Phenomena and Simulations (34)</t>
        </is>
      </c>
      <c r="T10" s="2" t="inlineStr">
        <is>
          <t>Oceanographic and Atmospheric Processes (64) | Fluid Dynamics and Turbulent Flows (53) | Meteorological Phenomena and Simulations (34)</t>
        </is>
      </c>
      <c r="U10" s="2" t="inlineStr">
        <is>
          <t>Modeling and Simulation, Oceanography, Earth Systems and Climate Science, Modeling, Modeling, Simulation and Cyberinfrastructure, Applied Mathematics</t>
        </is>
      </c>
      <c r="V10" s="2" t="inlineStr">
        <is>
          <t>Modeling and Simulation, Oceanography, Earth Systems and Climate Science, Modeling, Modeling, Simulation and Cyberinfrastructure, Applied Mathematics</t>
        </is>
      </c>
      <c r="W10" s="2" t="inlineStr">
        <is>
          <t>Scotti's main focus is theoretical, experimental and computational aspects of environmental fluid mechanics.</t>
        </is>
      </c>
      <c r="X10" s="2" t="inlineStr">
        <is>
          <t>PhD Johns Hopkins University</t>
        </is>
      </c>
      <c r="Y10" s="2" t="inlineStr"/>
      <c r="Z10" s="2" t="inlineStr"/>
      <c r="AA10" s="2" t="inlineStr"/>
      <c r="AB10" s="2" t="inlineStr"/>
      <c r="AC10" s="2" t="inlineStr"/>
      <c r="AD10" s="2" t="inlineStr"/>
      <c r="AE10" s="2" t="inlineStr"/>
      <c r="AF10" s="2" t="inlineStr"/>
      <c r="AG10" s="2" t="inlineStr">
        <is>
          <t>Campus: Tempe</t>
        </is>
      </c>
      <c r="AH10" s="2" t="b">
        <v>1</v>
      </c>
      <c r="AI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c r="N11" s="2" t="inlineStr"/>
      <c r="O11" s="2" t="inlineStr"/>
      <c r="P11" s="2" t="inlineStr">
        <is>
          <t>MAE 215: Intro to Programming in MATLAB | MAE 591: Seminar | MAE 593: Applied Project</t>
        </is>
      </c>
      <c r="Q11" s="2" t="inlineStr"/>
      <c r="R11" s="2" t="inlineStr"/>
      <c r="S11" s="2" t="inlineStr"/>
      <c r="T11" s="2" t="inlineStr"/>
      <c r="U11" s="2" t="inlineStr"/>
      <c r="V11" s="2" t="inlineStr"/>
      <c r="W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X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Y11" s="2" t="inlineStr">
        <is>
          <t>Interdisciplinary Simulation and Modeling (ISiM) Lab</t>
        </is>
      </c>
      <c r="Z11" s="3">
        <f>HYPERLINK("https://isim.asu.edu", "https://isim.asu.edu")</f>
        <v/>
      </c>
      <c r="AA11" s="2" t="inlineStr"/>
      <c r="AB11" s="2" t="inlineStr"/>
      <c r="AC11" s="2" t="inlineStr"/>
      <c r="AD11" s="2" t="inlineStr"/>
      <c r="AE11" s="2" t="inlineStr"/>
      <c r="AF11" s="2" t="inlineStr"/>
      <c r="AG11" s="2" t="inlineStr">
        <is>
          <t>ENGRC 379 (Tempe, AZ 85287-6106)</t>
        </is>
      </c>
      <c r="AH11" s="2" t="b">
        <v>1</v>
      </c>
      <c r="AI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c r="N12" s="2" t="inlineStr"/>
      <c r="O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P12" s="2" t="inlineStr">
        <is>
          <t>MAE 579: Wind Energy | MAE 242: Intro to Fluid Mechanics | MAE 593: Applied Project</t>
        </is>
      </c>
      <c r="Q12" s="2" t="inlineStr"/>
      <c r="R12" s="2" t="inlineStr"/>
      <c r="S12" s="2" t="inlineStr">
        <is>
          <t>Wind and Air Flow Studies (30) | Meteorological Phenomena and Simulations (27) | Fluid Dynamics and Turbulent Flows (13)</t>
        </is>
      </c>
      <c r="T12" s="2" t="inlineStr">
        <is>
          <t>Wind and Air Flow Studies (30) | Meteorological Phenomena and Simulations (27) | Fluid Dynamics and Turbulent Flows (13)</t>
        </is>
      </c>
      <c r="U12" s="2" t="inlineStr"/>
      <c r="V12" s="2" t="inlineStr"/>
      <c r="W12" s="2" t="inlineStr">
        <is>
          <t>Calhoun’s research interests are in fluid dynamics; atmospheric sciences; boundary layer; wind energy and remote sensing.</t>
        </is>
      </c>
      <c r="X12" s="2" t="inlineStr">
        <is>
          <t>Ph.D. Civil and Environmental Engineering, Stanford University 1998 | Engineer. Civil and Environmental Engineering, Stanford University 1993 | M.S. Civil and Environmental Engineering, Stanford University 1992 | B.S. Symbolic Systems, Stanford University 1989</t>
        </is>
      </c>
      <c r="Y12" s="2" t="inlineStr">
        <is>
          <t>Wind Energy and Atmospheric Boundary Layer Lab</t>
        </is>
      </c>
      <c r="Z12" s="3">
        <f>HYPERLINK("https://windlab.engineering.asu.edu/ronald-calhoun/", "https://windlab.engineering.asu.edu/ronald-calhoun/")</f>
        <v/>
      </c>
      <c r="AA12" s="2" t="inlineStr"/>
      <c r="AB12" s="2" t="inlineStr"/>
      <c r="AC12" s="2" t="inlineStr"/>
      <c r="AD12" s="2" t="inlineStr">
        <is>
          <t>DOE, NASA</t>
        </is>
      </c>
      <c r="AE12" s="2" t="inlineStr"/>
      <c r="AF12" s="2" t="inlineStr">
        <is>
          <t>Environmental Remote SensingGroup</t>
        </is>
      </c>
      <c r="AG12" s="2" t="inlineStr">
        <is>
          <t>Goldwater 466 (TEMPE, AZ 85287-6106)</t>
        </is>
      </c>
      <c r="AH12" s="2" t="b">
        <v>1</v>
      </c>
      <c r="AI12"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Z2" r:id="rId4"/>
    <hyperlink xmlns:r="http://schemas.openxmlformats.org/officeDocument/2006/relationships" ref="AE2" r:id="rId5"/>
    <hyperlink xmlns:r="http://schemas.openxmlformats.org/officeDocument/2006/relationships" ref="AI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AI3" r:id="rId10"/>
    <hyperlink xmlns:r="http://schemas.openxmlformats.org/officeDocument/2006/relationships" ref="C4" r:id="rId11"/>
    <hyperlink xmlns:r="http://schemas.openxmlformats.org/officeDocument/2006/relationships" ref="D4" r:id="rId12"/>
    <hyperlink xmlns:r="http://schemas.openxmlformats.org/officeDocument/2006/relationships" ref="H4" r:id="rId13"/>
    <hyperlink xmlns:r="http://schemas.openxmlformats.org/officeDocument/2006/relationships" ref="AI4" r:id="rId14"/>
    <hyperlink xmlns:r="http://schemas.openxmlformats.org/officeDocument/2006/relationships" ref="C5" r:id="rId15"/>
    <hyperlink xmlns:r="http://schemas.openxmlformats.org/officeDocument/2006/relationships" ref="D5" r:id="rId16"/>
    <hyperlink xmlns:r="http://schemas.openxmlformats.org/officeDocument/2006/relationships" ref="H5" r:id="rId17"/>
    <hyperlink xmlns:r="http://schemas.openxmlformats.org/officeDocument/2006/relationships" ref="Z5" r:id="rId18"/>
    <hyperlink xmlns:r="http://schemas.openxmlformats.org/officeDocument/2006/relationships" ref="AI5" r:id="rId19"/>
    <hyperlink xmlns:r="http://schemas.openxmlformats.org/officeDocument/2006/relationships" ref="C6" r:id="rId20"/>
    <hyperlink xmlns:r="http://schemas.openxmlformats.org/officeDocument/2006/relationships" ref="D6" r:id="rId21"/>
    <hyperlink xmlns:r="http://schemas.openxmlformats.org/officeDocument/2006/relationships" ref="H6" r:id="rId22"/>
    <hyperlink xmlns:r="http://schemas.openxmlformats.org/officeDocument/2006/relationships" ref="Z6" r:id="rId23"/>
    <hyperlink xmlns:r="http://schemas.openxmlformats.org/officeDocument/2006/relationships" ref="AI6" r:id="rId24"/>
    <hyperlink xmlns:r="http://schemas.openxmlformats.org/officeDocument/2006/relationships" ref="C7" r:id="rId25"/>
    <hyperlink xmlns:r="http://schemas.openxmlformats.org/officeDocument/2006/relationships" ref="D7" r:id="rId26"/>
    <hyperlink xmlns:r="http://schemas.openxmlformats.org/officeDocument/2006/relationships" ref="H7" r:id="rId27"/>
    <hyperlink xmlns:r="http://schemas.openxmlformats.org/officeDocument/2006/relationships" ref="AI7" r:id="rId28"/>
    <hyperlink xmlns:r="http://schemas.openxmlformats.org/officeDocument/2006/relationships" ref="C8" r:id="rId29"/>
    <hyperlink xmlns:r="http://schemas.openxmlformats.org/officeDocument/2006/relationships" ref="D8" r:id="rId30"/>
    <hyperlink xmlns:r="http://schemas.openxmlformats.org/officeDocument/2006/relationships" ref="H8" r:id="rId31"/>
    <hyperlink xmlns:r="http://schemas.openxmlformats.org/officeDocument/2006/relationships" ref="AI8" r:id="rId32"/>
    <hyperlink xmlns:r="http://schemas.openxmlformats.org/officeDocument/2006/relationships" ref="C9" r:id="rId33"/>
    <hyperlink xmlns:r="http://schemas.openxmlformats.org/officeDocument/2006/relationships" ref="D9" r:id="rId34"/>
    <hyperlink xmlns:r="http://schemas.openxmlformats.org/officeDocument/2006/relationships" ref="H9" r:id="rId35"/>
    <hyperlink xmlns:r="http://schemas.openxmlformats.org/officeDocument/2006/relationships" ref="Z9" r:id="rId36"/>
    <hyperlink xmlns:r="http://schemas.openxmlformats.org/officeDocument/2006/relationships" ref="AI9" r:id="rId37"/>
    <hyperlink xmlns:r="http://schemas.openxmlformats.org/officeDocument/2006/relationships" ref="C10" r:id="rId38"/>
    <hyperlink xmlns:r="http://schemas.openxmlformats.org/officeDocument/2006/relationships" ref="D10" r:id="rId39"/>
    <hyperlink xmlns:r="http://schemas.openxmlformats.org/officeDocument/2006/relationships" ref="H10" r:id="rId40"/>
    <hyperlink xmlns:r="http://schemas.openxmlformats.org/officeDocument/2006/relationships" ref="AI10" r:id="rId41"/>
    <hyperlink xmlns:r="http://schemas.openxmlformats.org/officeDocument/2006/relationships" ref="C11" r:id="rId42"/>
    <hyperlink xmlns:r="http://schemas.openxmlformats.org/officeDocument/2006/relationships" ref="D11" r:id="rId43"/>
    <hyperlink xmlns:r="http://schemas.openxmlformats.org/officeDocument/2006/relationships" ref="H11" r:id="rId44"/>
    <hyperlink xmlns:r="http://schemas.openxmlformats.org/officeDocument/2006/relationships" ref="Z11" r:id="rId45"/>
    <hyperlink xmlns:r="http://schemas.openxmlformats.org/officeDocument/2006/relationships" ref="AI11" r:id="rId46"/>
    <hyperlink xmlns:r="http://schemas.openxmlformats.org/officeDocument/2006/relationships" ref="C12" r:id="rId47"/>
    <hyperlink xmlns:r="http://schemas.openxmlformats.org/officeDocument/2006/relationships" ref="D12" r:id="rId48"/>
    <hyperlink xmlns:r="http://schemas.openxmlformats.org/officeDocument/2006/relationships" ref="H12" r:id="rId49"/>
    <hyperlink xmlns:r="http://schemas.openxmlformats.org/officeDocument/2006/relationships" ref="Z12" r:id="rId50"/>
    <hyperlink xmlns:r="http://schemas.openxmlformats.org/officeDocument/2006/relationships" ref="AI12" r:id="rId5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43"/>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52" customWidth="1" min="10" max="10"/>
    <col width="17"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49" customWidth="1" min="26" max="26"/>
    <col width="65" customWidth="1" min="27" max="27"/>
    <col width="53" customWidth="1" min="28" max="28"/>
    <col width="30" customWidth="1" min="29" max="29"/>
    <col width="20" customWidth="1" min="30" max="30"/>
    <col width="49" customWidth="1" min="31" max="31"/>
    <col width="61" customWidth="1" min="32" max="32"/>
    <col width="65" customWidth="1" min="33" max="33"/>
    <col width="18" customWidth="1" min="34" max="34"/>
    <col width="49" customWidth="1" min="35" max="35"/>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Latest Paper / Publication</t>
        </is>
      </c>
      <c r="N1" s="1" t="inlineStr">
        <is>
          <t>Recent Papers (2024-2026)</t>
        </is>
      </c>
      <c r="O1" s="1" t="inlineStr">
        <is>
          <t>Top Cited Papers</t>
        </is>
      </c>
      <c r="P1" s="1" t="inlineStr">
        <is>
          <t>Courses Taught</t>
        </is>
      </c>
      <c r="Q1" s="1" t="inlineStr">
        <is>
          <t>Recent Awards / Honors</t>
        </is>
      </c>
      <c r="R1" s="1" t="inlineStr">
        <is>
          <t>Cold Email / Application Instructions</t>
        </is>
      </c>
      <c r="S1" s="1" t="inlineStr">
        <is>
          <t>OpenAlex Research Topics</t>
        </is>
      </c>
      <c r="T1" s="1" t="inlineStr">
        <is>
          <t>Google Scholar Tags</t>
        </is>
      </c>
      <c r="U1" s="1" t="inlineStr">
        <is>
          <t>Research Interests</t>
        </is>
      </c>
      <c r="V1" s="1" t="inlineStr">
        <is>
          <t>Expertise Areas</t>
        </is>
      </c>
      <c r="W1" s="1" t="inlineStr">
        <is>
          <t>Research / Bio Summary</t>
        </is>
      </c>
      <c r="X1" s="1" t="inlineStr">
        <is>
          <t>Education / Degrees</t>
        </is>
      </c>
      <c r="Y1" s="1" t="inlineStr">
        <is>
          <t>Lab / Research Group Name</t>
        </is>
      </c>
      <c r="Z1" s="1" t="inlineStr">
        <is>
          <t>Lab / Personal Website</t>
        </is>
      </c>
      <c r="AA1" s="1" t="inlineStr">
        <is>
          <t>Actively Hiring / Openings</t>
        </is>
      </c>
      <c r="AB1" s="1" t="inlineStr">
        <is>
          <t>Target Skills / Prerequisites</t>
        </is>
      </c>
      <c r="AC1" s="1" t="inlineStr">
        <is>
          <t>Lab Facilities &amp; Equipment</t>
        </is>
      </c>
      <c r="AD1" s="1" t="inlineStr">
        <is>
          <t>Funding Sponsors</t>
        </is>
      </c>
      <c r="AE1" s="1" t="inlineStr">
        <is>
          <t>Software / Code Repo</t>
        </is>
      </c>
      <c r="AF1" s="1" t="inlineStr">
        <is>
          <t>Latest Project / Highlight</t>
        </is>
      </c>
      <c r="AG1" s="1" t="inlineStr">
        <is>
          <t>Office Location</t>
        </is>
      </c>
      <c r="AH1" s="1" t="inlineStr">
        <is>
          <t>Is Field Match</t>
        </is>
      </c>
      <c r="AI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Refereed Journal Papers M. H. Kasbaoui and M. Herrmann, A high-fidelity methodology for particle-resolved direct numerical simu...</t>
        </is>
      </c>
      <c r="N2" s="2" t="inlineStr"/>
      <c r="O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P2" s="2" t="inlineStr">
        <is>
          <t>MAE 242: Intro to Fluid Mechanics | MAE 574: Multiphase Flow | MAE 501: Linear Algebra in Engineering</t>
        </is>
      </c>
      <c r="Q2" s="2" t="inlineStr"/>
      <c r="R2" s="2" t="inlineStr"/>
      <c r="S2" s="2" t="inlineStr">
        <is>
          <t>Particle Dynamics in Fluid Flows (22) | Fluid Dynamics and Turbulent Flows (19) | Granular flow and fluidized beds (14)</t>
        </is>
      </c>
      <c r="T2" s="2" t="inlineStr">
        <is>
          <t>Particle Dynamics in Fluid Flows (22) | Fluid Dynamics and Turbulent Flows (19) | Granular flow and fluidized beds (14)</t>
        </is>
      </c>
      <c r="U2" s="2" t="inlineStr"/>
      <c r="V2" s="2" t="inlineStr"/>
      <c r="W2" s="2" t="inlineStr">
        <is>
          <t>Kasbaoui's research interests include computational fluid dynamics, numerical methods, and massively parallel simulations of multiphase and particle-laden flows for environmental and aerospace applications.</t>
        </is>
      </c>
      <c r="X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Y2" s="2" t="inlineStr">
        <is>
          <t>Multiphase Flow and Fluid-Structure Interaction Group</t>
        </is>
      </c>
      <c r="Z2" s="3">
        <f>HYPERLINK("https://kasbaoui.bitbucket.io", "https://kasbaoui.bitbucket.io")</f>
        <v/>
      </c>
      <c r="AA2" s="2" t="inlineStr"/>
      <c r="AB2" s="2" t="inlineStr">
        <is>
          <t>CFD</t>
        </is>
      </c>
      <c r="AC2" s="2" t="inlineStr"/>
      <c r="AD2" s="2" t="inlineStr">
        <is>
          <t>AFOSR</t>
        </is>
      </c>
      <c r="AE2" s="3">
        <f>HYPERLINK("https://bitbucket.org/krgasu/leap/downloads/leap-v0.8.2.tar.gz", "https://bitbucket.org/krgasu/leap/downloads/leap-v0.8.2.tar.gz, https://bitbucket.org/krgasu/leap/src/master")</f>
        <v/>
      </c>
      <c r="AF2" s="2" t="inlineStr">
        <is>
          <t>School for Engineering of Matter, Transport &amp; Energy</t>
        </is>
      </c>
      <c r="AG2" s="2" t="inlineStr">
        <is>
          <t>Campus: Tempe</t>
        </is>
      </c>
      <c r="AH2" s="2" t="b">
        <v>1</v>
      </c>
      <c r="AI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c r="N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O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P3" s="2" t="inlineStr">
        <is>
          <t>MAE 242: Intro to Fluid Mechanics | MAE 384: Adv Math Methods for Engineers | MAE 501: Linear Algebra in Engineering</t>
        </is>
      </c>
      <c r="Q3" s="2" t="inlineStr"/>
      <c r="R3" s="2" t="inlineStr"/>
      <c r="S3" s="2" t="inlineStr">
        <is>
          <t>Fluid Dynamics and Thin Films (12) | Rheology and Fluid Dynamics Studies (11) | Hydraulic Fracturing and Reservoir Analysis (7)</t>
        </is>
      </c>
      <c r="T3" s="2" t="inlineStr">
        <is>
          <t>Fluid Dynamics and Thin Films (12) | Rheology and Fluid Dynamics Studies (11) | Hydraulic Fracturing and Reservoir Analysis (7)</t>
        </is>
      </c>
      <c r="U3" s="2" t="inlineStr"/>
      <c r="V3" s="2" t="inlineStr"/>
      <c r="W3" s="2" t="inlineStr">
        <is>
          <t>Chen’s research interests include multiphase flows, drag reduction, airplane de-icing, interfacial instabilities and flow in porous media.</t>
        </is>
      </c>
      <c r="X3" s="2" t="inlineStr">
        <is>
          <t>Ph.D. Fluid Mechanics, University of Minnesota 1990 | B.S. Mechanics, Peking University, China 1982</t>
        </is>
      </c>
      <c r="Y3" s="2" t="inlineStr"/>
      <c r="Z3" s="2" t="inlineStr"/>
      <c r="AA3" s="2" t="inlineStr"/>
      <c r="AB3" s="2" t="inlineStr"/>
      <c r="AC3" s="2" t="inlineStr"/>
      <c r="AD3" s="2" t="inlineStr"/>
      <c r="AE3" s="2" t="inlineStr"/>
      <c r="AF3" s="2" t="inlineStr"/>
      <c r="AG3" s="2" t="inlineStr">
        <is>
          <t>ENGRC 361 (TEMPE, AZ 85287-6106)</t>
        </is>
      </c>
      <c r="AH3" s="2" t="b">
        <v>1</v>
      </c>
      <c r="AI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c r="N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O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P4" s="2" t="inlineStr">
        <is>
          <t>MAE 242: Intro to Fluid Mechanics | MAE 593: Applied Project | MAE 564: Advanced Aerodynamics</t>
        </is>
      </c>
      <c r="Q4" s="2" t="inlineStr"/>
      <c r="R4" s="2" t="inlineStr"/>
      <c r="S4" s="2" t="inlineStr">
        <is>
          <t>Fluid Dynamics and Turbulent Flows (36) | Fluid Dynamics and Vibration Analysis (26) | Biomimetic flight and propulsion mechanisms (24)</t>
        </is>
      </c>
      <c r="T4" s="2" t="inlineStr">
        <is>
          <t>Fluid Dynamics and Turbulent Flows (36) | Fluid Dynamics and Vibration Analysis (26) | Biomimetic flight and propulsion mechanisms (24)</t>
        </is>
      </c>
      <c r="U4" s="2" t="inlineStr">
        <is>
          <t>Unsteady aerodynamics, vortex dynamics, flow control, turbulence, separated flows</t>
        </is>
      </c>
      <c r="V4" s="2" t="inlineStr"/>
      <c r="W4" s="2" t="inlineStr">
        <is>
          <t>Ramesh's expertise is in unsteady fluid dynamics, vortex dynamics, turbulence and flow control.</t>
        </is>
      </c>
      <c r="X4" s="2" t="inlineStr">
        <is>
          <t>PhD North Carolina State University</t>
        </is>
      </c>
      <c r="Y4" s="2" t="inlineStr"/>
      <c r="Z4" s="2" t="inlineStr"/>
      <c r="AA4" s="2" t="inlineStr"/>
      <c r="AB4" s="2" t="inlineStr"/>
      <c r="AC4" s="2" t="inlineStr"/>
      <c r="AD4" s="2" t="inlineStr"/>
      <c r="AE4" s="2" t="inlineStr"/>
      <c r="AF4" s="2" t="inlineStr"/>
      <c r="AG4" s="2" t="inlineStr">
        <is>
          <t>Engineering research centre Room 383 551 E Tyler mall (Tempe, AZ 85281)</t>
        </is>
      </c>
      <c r="AH4" s="2" t="b">
        <v>1</v>
      </c>
      <c r="AI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Search this site Embedded Files Skip to main content Skip to navigation OASIS group at ASU Home Research People Publications Ne...</t>
        </is>
      </c>
      <c r="N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O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P5" s="2" t="inlineStr">
        <is>
          <t>MAE 499: Individualized Instruction | MAE 202: Mech.Particles/Rigid Bodies II | MAE 318: System Dynamics and Control I</t>
        </is>
      </c>
      <c r="Q5" s="2" t="inlineStr"/>
      <c r="R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S5" s="2" t="inlineStr">
        <is>
          <t>Fluid Dynamics and Vibration Analysis (12) | Vibration and Dynamic Analysis (9) | Wind and Air Flow Studies (7)</t>
        </is>
      </c>
      <c r="T5" s="2" t="inlineStr">
        <is>
          <t>Fluid Dynamics and Vibration Analysis (12) | Vibration and Dynamic Analysis (9) | Wind and Air Flow Studies (7)</t>
        </is>
      </c>
      <c r="U5" s="2" t="inlineStr">
        <is>
          <t>Aerodynamics, Dynamical Systems, Machine Learning, Mechanics of Composite Materials</t>
        </is>
      </c>
      <c r="V5" s="2" t="inlineStr">
        <is>
          <t>Aerodynamics, Dynamical Systems, Machine Learning, Mechanics of Composite Materials</t>
        </is>
      </c>
      <c r="W5" s="2" t="inlineStr">
        <is>
          <t>Leixin Ma's career goal is a data-driven and physically consistent approach to modeling and designing programmable smart structures and robots, especially under complex fluid flow conditions.</t>
        </is>
      </c>
      <c r="X5" s="2" t="inlineStr">
        <is>
          <t>Ph.D. in Mechanical Engineering, Massachusetts Institute of Technology, 2021 S.M. in Mechanical Engineering, Massachusetts Institute of Technology, 2017 B.S.E. in Naval Architecture and Ocean Engineering, Shanghai Jiao Tong University, 2015</t>
        </is>
      </c>
      <c r="Y5" s="2" t="inlineStr">
        <is>
          <t>Optimization, Autonomy, and Soft Intelligence Systems (OASIS) Lab</t>
        </is>
      </c>
      <c r="Z5" s="3">
        <f>HYPERLINK("https://sites.google.com/view/oasislabasu", "https://sites.google.com/view/oasislabasu")</f>
        <v/>
      </c>
      <c r="AA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B5" s="2" t="inlineStr"/>
      <c r="AC5" s="2" t="inlineStr">
        <is>
          <t>Towing Tank, FDM</t>
        </is>
      </c>
      <c r="AD5" s="2" t="inlineStr"/>
      <c r="AE5" s="2" t="inlineStr"/>
      <c r="AF5" s="2" t="inlineStr">
        <is>
          <t>Ocean and Soft Intelligent Structure Interaction Lab</t>
        </is>
      </c>
      <c r="AG5" s="2" t="inlineStr">
        <is>
          <t>ERC 485 (Tempe, AZ 85287)</t>
        </is>
      </c>
      <c r="AH5" s="2" t="b">
        <v>1</v>
      </c>
      <c r="AI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There is an open post-doctoral opening starting Fall 2025 in experimental turbulence research . All students interested in join...</t>
        </is>
      </c>
      <c r="N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O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P6" s="2" t="inlineStr">
        <is>
          <t>MAE 575: Turbulence | MAE 593: Applied Project | MAE 499: Individualized Instruction</t>
        </is>
      </c>
      <c r="Q6" s="2" t="inlineStr"/>
      <c r="R6" s="2" t="inlineStr"/>
      <c r="S6" s="2" t="inlineStr">
        <is>
          <t>Fluid Dynamics and Turbulent Flows (40) | Particle Dynamics in Fluid Flows (23) | Laser-Plasma Interactions and Diagnostics (12)</t>
        </is>
      </c>
      <c r="T6" s="2" t="inlineStr">
        <is>
          <t>Fluid Dynamics and Turbulent Flows (40) | Particle Dynamics in Fluid Flows (23) | Laser-Plasma Interactions and Diagnostics (12)</t>
        </is>
      </c>
      <c r="U6" s="2" t="inlineStr">
        <is>
          <t>Aerodynamics, Aerospace Engineering, Mechanical Engineering</t>
        </is>
      </c>
      <c r="V6" s="2" t="inlineStr">
        <is>
          <t>Aerodynamics, Aerospace Engineering, Mechanical Engineering</t>
        </is>
      </c>
      <c r="W6" s="2" t="inlineStr">
        <is>
          <t>Dr. Pathikonda studies turbulent fluid flows to understand natural and engineering phenomena using lab experiments. His expertise is in complex (reacting) mixing, high Re-flows, laser-based &amp; spectroscopic techniques, etc.</t>
        </is>
      </c>
      <c r="X6" s="2" t="inlineStr">
        <is>
          <t>Ph. D. Theoretical and Applied Mechanics, University of Illinois, Urbana Champaign, 2017 | MS Aerospace Engineering, University of Illinois, Urbana Champaign, 2013 | B. Tech. Mechanical Engineering, National Institute of Technology, Warangal, 2009</t>
        </is>
      </c>
      <c r="Y6" s="2" t="inlineStr"/>
      <c r="Z6" s="3">
        <f>HYPERLINK("https://faculty.engineering.asu.edu/cmat/", "https://faculty.engineering.asu.edu/cmat/")</f>
        <v/>
      </c>
      <c r="AA6" s="2" t="inlineStr"/>
      <c r="AB6" s="2" t="inlineStr"/>
      <c r="AC6" s="2" t="inlineStr"/>
      <c r="AD6" s="2" t="inlineStr"/>
      <c r="AE6" s="2" t="inlineStr"/>
      <c r="AF6" s="2" t="inlineStr">
        <is>
          <t>Want to be part of CMAT Lab?</t>
        </is>
      </c>
      <c r="AG6" s="2" t="inlineStr">
        <is>
          <t>551 E Tyler Mall ERC 479 (Tempe, AZ 85281)</t>
        </is>
      </c>
      <c r="AH6" s="2" t="b">
        <v>1</v>
      </c>
      <c r="AI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c r="N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O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P7" s="2" t="inlineStr">
        <is>
          <t>MAE 384: Adv Math Methods for Engineers | MAE 484: Internship | MAE 561: Computational Fluid Dynamics</t>
        </is>
      </c>
      <c r="Q7" s="2" t="inlineStr"/>
      <c r="R7" s="2" t="inlineStr"/>
      <c r="S7" s="2" t="inlineStr">
        <is>
          <t>Fluid Dynamics and Heat Transfer (66) | Fluid Dynamics and Turbulent Flows (27) | Particle Dynamics in Fluid Flows (27)</t>
        </is>
      </c>
      <c r="T7" s="2" t="inlineStr">
        <is>
          <t>Fluid Dynamics and Heat Transfer (66) | Fluid Dynamics and Turbulent Flows (27) | Particle Dynamics in Fluid Flows (27)</t>
        </is>
      </c>
      <c r="U7" s="2" t="inlineStr"/>
      <c r="V7" s="2" t="inlineStr"/>
      <c r="W7" s="2" t="inlineStr">
        <is>
          <t>Herrmann's research interests include fluid mechanics, modeling and numerical simulation of multiphase flows with a focus on turbulent atomization processes, and numerical methods for discontinuous interfaces.</t>
        </is>
      </c>
      <c r="X7" s="2" t="inlineStr">
        <is>
          <t>PhD in Mechanical Engineering, University of Technology (RWTH) Aachen, Germany 2001 | Diploma. Mechanical and Aerospace Engineering, University of Technology (RWTH) Aachen, Germany 1995</t>
        </is>
      </c>
      <c r="Y7" s="2" t="inlineStr">
        <is>
          <t>Computational Multiphase Physics Laboratory</t>
        </is>
      </c>
      <c r="Z7" s="2" t="inlineStr"/>
      <c r="AA7" s="2" t="inlineStr"/>
      <c r="AB7" s="2" t="inlineStr"/>
      <c r="AC7" s="2" t="inlineStr"/>
      <c r="AD7" s="2" t="inlineStr"/>
      <c r="AE7" s="2" t="inlineStr"/>
      <c r="AF7" s="2" t="inlineStr"/>
      <c r="AG7" s="2" t="inlineStr">
        <is>
          <t>ENGRC 311 (TEMPE, AZ 85287-6106)</t>
        </is>
      </c>
      <c r="AH7" s="2" t="b">
        <v>1</v>
      </c>
      <c r="AI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c r="N8" s="2" t="inlineStr"/>
      <c r="O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P8" s="2" t="inlineStr">
        <is>
          <t>MAE 242: Intro to Fluid Mechanics | MAE 593: Applied Project | MAE 598: Special Topics</t>
        </is>
      </c>
      <c r="Q8" s="2" t="inlineStr"/>
      <c r="R8" s="2" t="inlineStr"/>
      <c r="S8" s="2" t="inlineStr">
        <is>
          <t>Aerodynamics and Acoustics in Jet Flows (10) | Fluid Dynamics and Turbulent Flows (8) | Computational Fluid Dynamics and Aerodynamics (3)</t>
        </is>
      </c>
      <c r="T8" s="2" t="inlineStr">
        <is>
          <t>Aerodynamics and Acoustics in Jet Flows (10) | Fluid Dynamics and Turbulent Flows (8) | Computational Fluid Dynamics and Aerodynamics (3)</t>
        </is>
      </c>
      <c r="U8" s="2" t="inlineStr"/>
      <c r="V8" s="2" t="inlineStr"/>
      <c r="W8" s="2" t="inlineStr">
        <is>
          <t>Kim's research interests include large-eddy simulation of high-speed turbulent flows with multi-physics, aeroacoustics, flow control and optimization.</t>
        </is>
      </c>
      <c r="X8" s="2" t="inlineStr">
        <is>
          <t>Ph.D. Theoretical and Applied Mechanics, University of Illinois at Urbana-Champaign | M.S. Mechanical and Aerospace Engineering, Seoul National University, South Korea | B.S. Mechanical and Aerospace Engineering, Seoul National University, South Korea</t>
        </is>
      </c>
      <c r="Y8" s="2" t="inlineStr"/>
      <c r="Z8" s="2" t="inlineStr"/>
      <c r="AA8" s="2" t="inlineStr"/>
      <c r="AB8" s="2" t="inlineStr"/>
      <c r="AC8" s="2" t="inlineStr"/>
      <c r="AD8" s="2" t="inlineStr"/>
      <c r="AE8" s="2" t="inlineStr"/>
      <c r="AF8" s="2" t="inlineStr"/>
      <c r="AG8" s="2" t="inlineStr">
        <is>
          <t>Campus: Tempe</t>
        </is>
      </c>
      <c r="AH8" s="2" t="b">
        <v>1</v>
      </c>
      <c r="AI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Micro-scale Thermal Partial Oxidation Reformer and Integrated Solid Oxide Fuel Cell Operating with Jet Fuel,</t>
        </is>
      </c>
      <c r="N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O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P9" s="2" t="inlineStr">
        <is>
          <t>MAE 593: Applied Project | MAE 436: Combustion | MAE 536: Combustion</t>
        </is>
      </c>
      <c r="Q9" s="2" t="inlineStr">
        <is>
          <t>Outstanding Faculty Mentor, Fulton Schools of Engineering, For the Fulton Forge Student Research programs, 2026 | 1st Place, Student Paper Competition, 2025 ASME IMECE Power Symposium, 2025</t>
        </is>
      </c>
      <c r="R9" s="2" t="inlineStr"/>
      <c r="S9" s="2" t="inlineStr">
        <is>
          <t>Advancements in Solid Oxide Fuel Cells (54) | Fuel Cells and Related Materials (31) | Catalytic Processes in Materials Science (30)</t>
        </is>
      </c>
      <c r="T9" s="2" t="inlineStr">
        <is>
          <t>Advancements in Solid Oxide Fuel Cells (54) | Fuel Cells and Related Materials (31) | Catalytic Processes in Materials Science (30)</t>
        </is>
      </c>
      <c r="U9" s="2" t="inlineStr">
        <is>
          <t>Energy management and efficiency, energy transition, energy storage, solid oxide fuel cells, partial oxidation, cogeneration, combustion, and synthesis of hydrogen</t>
        </is>
      </c>
      <c r="V9" s="2" t="inlineStr">
        <is>
          <t>Ceramics, Electrochemistry, Energy, Energy and Sustainability, Energy Conservation, Energy Economics, Energy Efficiency Technologies, Thin Film Materials</t>
        </is>
      </c>
      <c r="W9" s="2" t="inlineStr">
        <is>
          <t>Milcarek's current research focuses on energy management and efficiency, energy system modeling, energy transition, energy storage, solid oxide fuel cells fabrication and testing, partial oxidation and synthesis of hydrogen.</t>
        </is>
      </c>
      <c r="X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Y9" s="2" t="inlineStr"/>
      <c r="Z9" s="3">
        <f>HYPERLINK("http://RESEARCHGATE.net/profile/Ryan_Milcarek", "http://RESEARCHGATE.net/profile/Ryan_Milcarek")</f>
        <v/>
      </c>
      <c r="AA9" s="2" t="inlineStr"/>
      <c r="AB9" s="2" t="inlineStr"/>
      <c r="AC9" s="2" t="inlineStr"/>
      <c r="AD9" s="2" t="inlineStr"/>
      <c r="AE9" s="2" t="inlineStr"/>
      <c r="AF9" s="2" t="inlineStr"/>
      <c r="AG9" s="2" t="inlineStr">
        <is>
          <t>ENGRC 465 (Tempe, AZ 85287)</t>
        </is>
      </c>
      <c r="AH9" s="2" t="b">
        <v>1</v>
      </c>
      <c r="AI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c r="N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O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P10" s="2" t="inlineStr">
        <is>
          <t>MAE 501: Linear Algebra in Engineering | MAE 215: Intro to Programming in MATLAB | MAE 202: Mech.Particles/Rigid Bodies II</t>
        </is>
      </c>
      <c r="Q10" s="2" t="inlineStr"/>
      <c r="R10" s="2" t="inlineStr"/>
      <c r="S10" s="2" t="inlineStr">
        <is>
          <t>Oceanographic and Atmospheric Processes (64) | Fluid Dynamics and Turbulent Flows (53) | Meteorological Phenomena and Simulations (34)</t>
        </is>
      </c>
      <c r="T10" s="2" t="inlineStr">
        <is>
          <t>Oceanographic and Atmospheric Processes (64) | Fluid Dynamics and Turbulent Flows (53) | Meteorological Phenomena and Simulations (34)</t>
        </is>
      </c>
      <c r="U10" s="2" t="inlineStr">
        <is>
          <t>Modeling and Simulation, Oceanography, Earth Systems and Climate Science, Modeling, Modeling, Simulation and Cyberinfrastructure, Applied Mathematics</t>
        </is>
      </c>
      <c r="V10" s="2" t="inlineStr">
        <is>
          <t>Modeling and Simulation, Oceanography, Earth Systems and Climate Science, Modeling, Modeling, Simulation and Cyberinfrastructure, Applied Mathematics</t>
        </is>
      </c>
      <c r="W10" s="2" t="inlineStr">
        <is>
          <t>Scotti's main focus is theoretical, experimental and computational aspects of environmental fluid mechanics.</t>
        </is>
      </c>
      <c r="X10" s="2" t="inlineStr">
        <is>
          <t>PhD Johns Hopkins University</t>
        </is>
      </c>
      <c r="Y10" s="2" t="inlineStr"/>
      <c r="Z10" s="2" t="inlineStr"/>
      <c r="AA10" s="2" t="inlineStr"/>
      <c r="AB10" s="2" t="inlineStr"/>
      <c r="AC10" s="2" t="inlineStr"/>
      <c r="AD10" s="2" t="inlineStr"/>
      <c r="AE10" s="2" t="inlineStr"/>
      <c r="AF10" s="2" t="inlineStr"/>
      <c r="AG10" s="2" t="inlineStr">
        <is>
          <t>Campus: Tempe</t>
        </is>
      </c>
      <c r="AH10" s="2" t="b">
        <v>1</v>
      </c>
      <c r="AI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c r="N11" s="2" t="inlineStr"/>
      <c r="O11" s="2" t="inlineStr"/>
      <c r="P11" s="2" t="inlineStr">
        <is>
          <t>MAE 215: Intro to Programming in MATLAB | MAE 591: Seminar | MAE 593: Applied Project</t>
        </is>
      </c>
      <c r="Q11" s="2" t="inlineStr"/>
      <c r="R11" s="2" t="inlineStr"/>
      <c r="S11" s="2" t="inlineStr"/>
      <c r="T11" s="2" t="inlineStr"/>
      <c r="U11" s="2" t="inlineStr"/>
      <c r="V11" s="2" t="inlineStr"/>
      <c r="W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X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Y11" s="2" t="inlineStr">
        <is>
          <t>Interdisciplinary Simulation and Modeling (ISiM) Lab</t>
        </is>
      </c>
      <c r="Z11" s="3">
        <f>HYPERLINK("https://isim.asu.edu", "https://isim.asu.edu")</f>
        <v/>
      </c>
      <c r="AA11" s="2" t="inlineStr"/>
      <c r="AB11" s="2" t="inlineStr"/>
      <c r="AC11" s="2" t="inlineStr"/>
      <c r="AD11" s="2" t="inlineStr"/>
      <c r="AE11" s="2" t="inlineStr"/>
      <c r="AF11" s="2" t="inlineStr"/>
      <c r="AG11" s="2" t="inlineStr">
        <is>
          <t>ENGRC 379 (Tempe, AZ 85287-6106)</t>
        </is>
      </c>
      <c r="AH11" s="2" t="b">
        <v>1</v>
      </c>
      <c r="AI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c r="N12" s="2" t="inlineStr"/>
      <c r="O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P12" s="2" t="inlineStr">
        <is>
          <t>MAE 579: Wind Energy | MAE 242: Intro to Fluid Mechanics | MAE 593: Applied Project</t>
        </is>
      </c>
      <c r="Q12" s="2" t="inlineStr"/>
      <c r="R12" s="2" t="inlineStr"/>
      <c r="S12" s="2" t="inlineStr">
        <is>
          <t>Wind and Air Flow Studies (30) | Meteorological Phenomena and Simulations (27) | Fluid Dynamics and Turbulent Flows (13)</t>
        </is>
      </c>
      <c r="T12" s="2" t="inlineStr">
        <is>
          <t>Wind and Air Flow Studies (30) | Meteorological Phenomena and Simulations (27) | Fluid Dynamics and Turbulent Flows (13)</t>
        </is>
      </c>
      <c r="U12" s="2" t="inlineStr"/>
      <c r="V12" s="2" t="inlineStr"/>
      <c r="W12" s="2" t="inlineStr">
        <is>
          <t>Calhoun’s research interests are in fluid dynamics; atmospheric sciences; boundary layer; wind energy and remote sensing.</t>
        </is>
      </c>
      <c r="X12" s="2" t="inlineStr">
        <is>
          <t>Ph.D. Civil and Environmental Engineering, Stanford University 1998 | Engineer. Civil and Environmental Engineering, Stanford University 1993 | M.S. Civil and Environmental Engineering, Stanford University 1992 | B.S. Symbolic Systems, Stanford University 1989</t>
        </is>
      </c>
      <c r="Y12" s="2" t="inlineStr">
        <is>
          <t>Wind Energy and Atmospheric Boundary Layer Lab</t>
        </is>
      </c>
      <c r="Z12" s="3">
        <f>HYPERLINK("https://windlab.engineering.asu.edu/ronald-calhoun/", "https://windlab.engineering.asu.edu/ronald-calhoun/")</f>
        <v/>
      </c>
      <c r="AA12" s="2" t="inlineStr"/>
      <c r="AB12" s="2" t="inlineStr"/>
      <c r="AC12" s="2" t="inlineStr"/>
      <c r="AD12" s="2" t="inlineStr">
        <is>
          <t>DOE, NASA</t>
        </is>
      </c>
      <c r="AE12" s="2" t="inlineStr"/>
      <c r="AF12" s="2" t="inlineStr">
        <is>
          <t>Environmental Remote SensingGroup</t>
        </is>
      </c>
      <c r="AG12" s="2" t="inlineStr">
        <is>
          <t>Goldwater 466 (TEMPE, AZ 85287-6106)</t>
        </is>
      </c>
      <c r="AH12" s="2" t="b">
        <v>1</v>
      </c>
      <c r="AI12" s="3">
        <f>HYPERLINK("https://faculty.engineering.asu.edu/directory/semte/aerospace-and-mechanical-engineering/", "https://faculty.engineering.asu.edu/directory/semte/aerospace-and-mechanical-engineering/")</f>
        <v/>
      </c>
    </row>
    <row r="13">
      <c r="A13" s="2" t="inlineStr">
        <is>
          <t>Liping Wang</t>
        </is>
      </c>
      <c r="B13" s="2" t="inlineStr">
        <is>
          <t>Arizona State University</t>
        </is>
      </c>
      <c r="C13" s="3">
        <f>HYPERLINK("https://search.asu.edu/profile/lwang78", "https://search.asu.edu/profile/lwang78")</f>
        <v/>
      </c>
      <c r="D13" s="3">
        <f>HYPERLINK("https://scholar.google.com/citations?view_op=search_authors&amp;mauthors=Liping%20Wang%20Arizona%20State%20University", "Google Scholar Search")</f>
        <v/>
      </c>
      <c r="E13" s="2" t="inlineStr">
        <is>
          <t>Associate Professor</t>
        </is>
      </c>
      <c r="F13" s="2" t="inlineStr">
        <is>
          <t>Aerospace &amp; Mechanical Engineering</t>
        </is>
      </c>
      <c r="G13" s="2" t="inlineStr"/>
      <c r="H13" s="3">
        <f>HYPERLINK("mailto:Liping.Wang@asu.edu", "Liping.Wang@asu.edu")</f>
        <v/>
      </c>
      <c r="I13" s="2" t="n">
        <v>2</v>
      </c>
      <c r="J13" s="2" t="inlineStr">
        <is>
          <t>🟡 Tier 2: Thermal / Heat Transfer / Energy</t>
        </is>
      </c>
      <c r="K13" s="2" t="n">
        <v>7</v>
      </c>
      <c r="L13" s="2" t="inlineStr">
        <is>
          <t>aerospace, guidance, heat transfer, materials, metamaterials, radiation, thermal</t>
        </is>
      </c>
      <c r="M13" s="2" t="inlineStr">
        <is>
          <t>One PhD position available for Fall 2024 on AFM based near-field thermal measurement! ($32k/year stipend + tuition + benefit)</t>
        </is>
      </c>
      <c r="N13" s="2" t="inlineStr"/>
      <c r="O13" s="2" t="inlineStr"/>
      <c r="P13" s="2" t="inlineStr">
        <is>
          <t>MAE 584: Internship | MAE 593: Applied Project | MAE 241: Intro to Thermodynamics</t>
        </is>
      </c>
      <c r="Q13" s="2" t="inlineStr">
        <is>
          <t>2017         AFOSR Young Investigator (YIP) Award,  ASU | 2016         JQSRT/Elsevier Viskanta Young Scientist Award,  ASU</t>
        </is>
      </c>
      <c r="R1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S13" s="2" t="inlineStr"/>
      <c r="T13" s="2" t="inlineStr"/>
      <c r="U1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V13" s="2" t="inlineStr"/>
      <c r="W13" s="2" t="inlineStr">
        <is>
          <t>Wang research interests include selective control of thermal emission/absorption using meta-materials for energy harvesting and near-field radiation heat transfer enhancement between meta-materials for thermophotovoltaics.</t>
        </is>
      </c>
      <c r="X1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Y13" s="2" t="inlineStr">
        <is>
          <t>Nanoscale Thermal Radiation Lab</t>
        </is>
      </c>
      <c r="Z13" s="3">
        <f>HYPERLINK("http://faculty.engineering.asu.edu/lpwang", "http://faculty.engineering.asu.edu/lpwang")</f>
        <v/>
      </c>
      <c r="AA13" s="2" t="inlineStr">
        <is>
          <t>Multiple UG/MS research positions available for Fall 2024 (volunteer) and Spring/Summer 2025 (possible FURI / MORE support)</t>
        </is>
      </c>
      <c r="AB13" s="2" t="inlineStr"/>
      <c r="AC13" s="2" t="inlineStr">
        <is>
          <t>AFM</t>
        </is>
      </c>
      <c r="AD13" s="2" t="inlineStr">
        <is>
          <t>NASA, NSF</t>
        </is>
      </c>
      <c r="AE13" s="2" t="inlineStr"/>
      <c r="AF13" s="2" t="inlineStr">
        <is>
          <t>News&amp;Awards</t>
        </is>
      </c>
      <c r="AG13" s="2" t="inlineStr">
        <is>
          <t>ENGRC 327 (Tempe, AZ 85287-6106)</t>
        </is>
      </c>
      <c r="AH13" s="2" t="b">
        <v>1</v>
      </c>
      <c r="AI13" s="3">
        <f>HYPERLINK("https://faculty.engineering.asu.edu/directory/semte/aerospace-and-mechanical-engineering/", "https://faculty.engineering.asu.edu/directory/semte/aerospace-and-mechanical-engineering/")</f>
        <v/>
      </c>
    </row>
    <row r="14">
      <c r="A14" s="2" t="inlineStr">
        <is>
          <t>Robert Wang</t>
        </is>
      </c>
      <c r="B14" s="2" t="inlineStr">
        <is>
          <t>Arizona State University</t>
        </is>
      </c>
      <c r="C14" s="3">
        <f>HYPERLINK("https://search.asu.edu/profile/rywang", "https://search.asu.edu/profile/rywang")</f>
        <v/>
      </c>
      <c r="D14" s="3">
        <f>HYPERLINK("https://scholar.google.com/citations?hl=en&amp;user=LaUdx9gAAAAJ", "Scholar (LaUdx9gAAAAJ)")</f>
        <v/>
      </c>
      <c r="E14" s="2" t="inlineStr">
        <is>
          <t>Associate Professor</t>
        </is>
      </c>
      <c r="F14" s="2" t="inlineStr">
        <is>
          <t>Aerospace &amp; Mechanical Engineering</t>
        </is>
      </c>
      <c r="G14" s="2" t="inlineStr">
        <is>
          <t>LaUdx9gAAAAJ</t>
        </is>
      </c>
      <c r="H14" s="3">
        <f>HYPERLINK("mailto:rywang@asu.edu", "rywang@asu.edu")</f>
        <v/>
      </c>
      <c r="I14" s="2" t="n">
        <v>2</v>
      </c>
      <c r="J14" s="2" t="inlineStr">
        <is>
          <t>🟡 Tier 2: Thermal / Heat Transfer / Energy</t>
        </is>
      </c>
      <c r="K14" s="2" t="n">
        <v>4</v>
      </c>
      <c r="L14" s="2" t="inlineStr">
        <is>
          <t>composites, heat transfer, materials, thermal</t>
        </is>
      </c>
      <c r="M14" s="2" t="inlineStr"/>
      <c r="N14" s="2" t="inlineStr"/>
      <c r="O14" s="2" t="inlineStr"/>
      <c r="P14" s="2" t="inlineStr">
        <is>
          <t>MAE 241: Intro to Thermodynamics | MAE 593: Applied Project | MAE 588: Nanoscale Heat Transfer</t>
        </is>
      </c>
      <c r="Q14" s="2" t="inlineStr"/>
      <c r="R14" s="2" t="inlineStr"/>
      <c r="S14" s="2" t="inlineStr"/>
      <c r="T14" s="2" t="inlineStr"/>
      <c r="U14"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V14"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W14" s="2" t="inlineStr">
        <is>
          <t>Wang's research interests include thermal energy conversion, storage, and transport in nanostructured materials; thermoelectric power generation; thermal storage media; heat transfer, and phonon optics</t>
        </is>
      </c>
      <c r="X14" s="2" t="inlineStr">
        <is>
          <t>Ph.D. Mechanical Engineering, University of California-Berkeley 2008 | M.S. Mechanical Engineering, University of California-Berkeley 2005 | B.S. Mechanical Engineering, University of California-Los Angeles 2003</t>
        </is>
      </c>
      <c r="Y14" s="2" t="inlineStr"/>
      <c r="Z14" s="3">
        <f>HYPERLINK("http://wang.faculty.asu.edu/", "http://wang.faculty.asu.edu/")</f>
        <v/>
      </c>
      <c r="AA14" s="2" t="inlineStr"/>
      <c r="AB14" s="2" t="inlineStr"/>
      <c r="AC14" s="2" t="inlineStr"/>
      <c r="AD14" s="2" t="inlineStr"/>
      <c r="AE14" s="2" t="inlineStr"/>
      <c r="AF14" s="2" t="inlineStr">
        <is>
          <t>Thermal Energy &amp; Nanomaterials Lab</t>
        </is>
      </c>
      <c r="AG14" s="2" t="inlineStr">
        <is>
          <t>ENGRC 307 (Tempe, AZ 85287-6106)</t>
        </is>
      </c>
      <c r="AH14" s="2" t="b">
        <v>1</v>
      </c>
      <c r="AI14" s="3">
        <f>HYPERLINK("https://faculty.engineering.asu.edu/directory/semte/aerospace-and-mechanical-engineering/", "https://faculty.engineering.asu.edu/directory/semte/aerospace-and-mechanical-engineering/")</f>
        <v/>
      </c>
    </row>
    <row r="15">
      <c r="A15" s="2" t="inlineStr">
        <is>
          <t>T.-W. Lee</t>
        </is>
      </c>
      <c r="B15" s="2" t="inlineStr">
        <is>
          <t>Arizona State University</t>
        </is>
      </c>
      <c r="C15" s="3">
        <f>HYPERLINK("https://search.asu.edu/profile/attwl", "https://search.asu.edu/profile/attwl")</f>
        <v/>
      </c>
      <c r="D15" s="3">
        <f>HYPERLINK("https://scholar.google.com/citations?view_op=search_authors&amp;mauthors=T.-W.%20Lee%20Arizona%20State%20University", "Google Scholar Search")</f>
        <v/>
      </c>
      <c r="E15" s="2" t="inlineStr">
        <is>
          <t>Associate Professor</t>
        </is>
      </c>
      <c r="F15" s="2" t="inlineStr">
        <is>
          <t>Aerospace &amp; Mechanical Engineering</t>
        </is>
      </c>
      <c r="G15" s="2" t="inlineStr"/>
      <c r="H15" s="3">
        <f>HYPERLINK("mailto:ATTWL@asu.edu", "ATTWL@asu.edu")</f>
        <v/>
      </c>
      <c r="I15" s="2" t="n">
        <v>2</v>
      </c>
      <c r="J15" s="2" t="inlineStr">
        <is>
          <t>🟡 Tier 2: Thermal / Heat Transfer / Energy</t>
        </is>
      </c>
      <c r="K15" s="2" t="n">
        <v>4</v>
      </c>
      <c r="L15" s="2" t="inlineStr">
        <is>
          <t>aerospace, energy systems, propulsion, thermal</t>
        </is>
      </c>
      <c r="M15" s="2" t="inlineStr">
        <is>
          <t>N Hegde, Taewoo Lee. Laser-induced breakdown spectroscopy for in situ diagnostics of combustion parameters including tem</t>
        </is>
      </c>
      <c r="N15" s="2" t="inlineStr"/>
      <c r="O15" s="2" t="inlineStr"/>
      <c r="P15" s="2" t="inlineStr">
        <is>
          <t>MAE 565: Rocket Propulsion | MAE 593: Applied Project | MAE 570: Intermediate Thermodynamics</t>
        </is>
      </c>
      <c r="Q15" s="2" t="inlineStr"/>
      <c r="R15" s="2" t="inlineStr"/>
      <c r="S15" s="2" t="inlineStr"/>
      <c r="T15" s="2" t="inlineStr"/>
      <c r="U15" s="2" t="inlineStr"/>
      <c r="V15" s="2" t="inlineStr"/>
      <c r="W15" s="2" t="inlineStr">
        <is>
          <t>Lee's areas of expertise include energy system analysis, thermal and fluid process characterization, and fuel property measurements for energy systems.</t>
        </is>
      </c>
      <c r="X15" s="2" t="inlineStr">
        <is>
          <t>Ph.D. Aerospace Engineering, University of Michigan-Ann Arbor | M.S.E. Aerospace Engineering, University of Michigan-Ann Arbor | B.S. Aeronautical and Astronautical Engineering, The Ohio State University-Columbus</t>
        </is>
      </c>
      <c r="Y15" s="2" t="inlineStr"/>
      <c r="Z15" s="2" t="inlineStr"/>
      <c r="AA15" s="2" t="inlineStr"/>
      <c r="AB15" s="2" t="inlineStr"/>
      <c r="AC15" s="2" t="inlineStr"/>
      <c r="AD15" s="2" t="inlineStr"/>
      <c r="AE15" s="2" t="inlineStr"/>
      <c r="AF15" s="2" t="inlineStr"/>
      <c r="AG15" s="2" t="inlineStr">
        <is>
          <t>ENGRC 377 (TEMPE, AZ 85287-6106)</t>
        </is>
      </c>
      <c r="AH15" s="2" t="b">
        <v>1</v>
      </c>
      <c r="AI15" s="3">
        <f>HYPERLINK("https://faculty.engineering.asu.edu/directory/semte/aerospace-and-mechanical-engineering/", "https://faculty.engineering.asu.edu/directory/semte/aerospace-and-mechanical-engineering/")</f>
        <v/>
      </c>
    </row>
    <row r="16">
      <c r="A16" s="2" t="inlineStr">
        <is>
          <t>Tianyu Yang</t>
        </is>
      </c>
      <c r="B16" s="2" t="inlineStr">
        <is>
          <t>Arizona State University</t>
        </is>
      </c>
      <c r="C16" s="3">
        <f>HYPERLINK("https://search.asu.edu/profile/tyang123", "https://search.asu.edu/profile/tyang123")</f>
        <v/>
      </c>
      <c r="D16" s="3">
        <f>HYPERLINK("https://scholar.google.com/citations?hl=en&amp;user=OmBV67MAAAAJ", "Scholar (OmBV67MAAAAJ)")</f>
        <v/>
      </c>
      <c r="E16" s="2" t="inlineStr">
        <is>
          <t>Assistant Professor</t>
        </is>
      </c>
      <c r="F16" s="2" t="inlineStr">
        <is>
          <t>Aerospace &amp; Mechanical Engineering</t>
        </is>
      </c>
      <c r="G16" s="2" t="inlineStr">
        <is>
          <t>OmBV67MAAAAJ</t>
        </is>
      </c>
      <c r="H16" s="3">
        <f>HYPERLINK("mailto:Tianyu.Yang@asu.edu", "Tianyu.Yang@asu.edu")</f>
        <v/>
      </c>
      <c r="I16" s="2" t="n">
        <v>2</v>
      </c>
      <c r="J16" s="2" t="inlineStr">
        <is>
          <t>🟡 Tier 2: Thermal / Heat Transfer / Energy</t>
        </is>
      </c>
      <c r="K16" s="2" t="n">
        <v>4</v>
      </c>
      <c r="L16" s="2" t="inlineStr">
        <is>
          <t>autonomous, heat transfer, materials, thermal</t>
        </is>
      </c>
      <c r="M16" s="2" t="inlineStr"/>
      <c r="N16" s="2" t="inlineStr"/>
      <c r="O16" s="2" t="inlineStr"/>
      <c r="P16" s="2" t="inlineStr">
        <is>
          <t>MAE 241: Intro to Thermodynamics</t>
        </is>
      </c>
      <c r="Q16" s="2" t="inlineStr"/>
      <c r="R16" s="2" t="inlineStr"/>
      <c r="S16" s="2" t="inlineStr"/>
      <c r="T16" s="2" t="inlineStr"/>
      <c r="U16" s="2" t="inlineStr"/>
      <c r="V16" s="2" t="inlineStr"/>
      <c r="W16" s="2" t="inlineStr">
        <is>
          <t>Yang studies heat transfer, thermal management of electronics, and biomedical devices. She has published multiple research papers in major scientific journals.</t>
        </is>
      </c>
      <c r="X16" s="2" t="inlineStr">
        <is>
          <t>PhD. University of Illinois at Urbana Champaign, 2016-2021 | BS. Tsinghua University, China 2012-2016</t>
        </is>
      </c>
      <c r="Y16" s="2" t="inlineStr"/>
      <c r="Z16" s="2" t="inlineStr"/>
      <c r="AA16" s="2" t="inlineStr"/>
      <c r="AB16" s="2" t="inlineStr"/>
      <c r="AC16" s="2" t="inlineStr"/>
      <c r="AD16" s="2" t="inlineStr"/>
      <c r="AE16" s="2" t="inlineStr"/>
      <c r="AF16" s="2" t="inlineStr"/>
      <c r="AG16" s="2" t="inlineStr">
        <is>
          <t>Campus: Tempe</t>
        </is>
      </c>
      <c r="AH16" s="2" t="b">
        <v>1</v>
      </c>
      <c r="AI16" s="3">
        <f>HYPERLINK("https://faculty.engineering.asu.edu/directory/semte/aerospace-and-mechanical-engineering/", "https://faculty.engineering.asu.edu/directory/semte/aerospace-and-mechanical-engineering/")</f>
        <v/>
      </c>
    </row>
    <row r="17">
      <c r="A17" s="2" t="inlineStr">
        <is>
          <t>Beomjin Kwon</t>
        </is>
      </c>
      <c r="B17" s="2" t="inlineStr">
        <is>
          <t>Arizona State University</t>
        </is>
      </c>
      <c r="C17" s="3">
        <f>HYPERLINK("https://search.asu.edu/profile/bkwon2", "https://search.asu.edu/profile/bkwon2")</f>
        <v/>
      </c>
      <c r="D17" s="3">
        <f>HYPERLINK("https://scholar.google.com/citations?hl=en&amp;user=fs2d97sAAAAJ", "Scholar (fs2d97sAAAAJ)")</f>
        <v/>
      </c>
      <c r="E17" s="2" t="inlineStr">
        <is>
          <t>Associate Professor</t>
        </is>
      </c>
      <c r="F17" s="2" t="inlineStr">
        <is>
          <t>Aerospace &amp; Mechanical Engineering</t>
        </is>
      </c>
      <c r="G17" s="2" t="inlineStr">
        <is>
          <t>fs2d97sAAAAJ</t>
        </is>
      </c>
      <c r="H17" s="3">
        <f>HYPERLINK("mailto:kwon@asu.edu", "kwon@asu.edu")</f>
        <v/>
      </c>
      <c r="I17" s="2" t="n">
        <v>2</v>
      </c>
      <c r="J17" s="2" t="inlineStr">
        <is>
          <t>🟡 Tier 2: Thermal / Heat Transfer / Energy</t>
        </is>
      </c>
      <c r="K17" s="2" t="n">
        <v>3</v>
      </c>
      <c r="L17" s="2" t="inlineStr">
        <is>
          <t>aerospace, energy systems, heat transfer</t>
        </is>
      </c>
      <c r="M17" s="2" t="inlineStr">
        <is>
          <t>Journal Papers 62. N. Ohashi, J. Deng, L.K. Hwang, P.K. Kang, and B. Kwon, “Physics-Informed Machine Learning for Reconstructin...</t>
        </is>
      </c>
      <c r="N17" s="2" t="inlineStr"/>
      <c r="O17" s="2" t="inlineStr"/>
      <c r="P17" s="2" t="inlineStr">
        <is>
          <t>MAE 593: Applied Project | MAE 241: Intro to Thermodynamics | MAE 598: Special Topics</t>
        </is>
      </c>
      <c r="Q17" s="2" t="inlineStr"/>
      <c r="R17" s="2" t="inlineStr"/>
      <c r="S17" s="2" t="inlineStr"/>
      <c r="T17" s="2" t="inlineStr"/>
      <c r="U17" s="2" t="inlineStr">
        <is>
          <t>Transport phenomena in heat transfer systems Additive manufacturing Data-driven modeling and design</t>
        </is>
      </c>
      <c r="V17" s="2" t="inlineStr"/>
      <c r="W17" s="2" t="inlineStr">
        <is>
          <t>Kwon aims to improve the energy conversion and transport systems through the fundamental insights into transport physics, and by exploiting additive manufacturing and data-driven approaches.</t>
        </is>
      </c>
      <c r="X17" s="2" t="inlineStr">
        <is>
          <t>Ph.D. Mechanical Engineering, University of Illinois at Urbana-Champaign 2013 | M.S. Mechanical Engineering, University of Illinois at Urbana-Champaign 2009 | B.S. Mechanical and Aerospace Engineering, Seoul National University 2008</t>
        </is>
      </c>
      <c r="Y17" s="2" t="inlineStr">
        <is>
          <t>3D Energy Lab</t>
        </is>
      </c>
      <c r="Z17" s="3">
        <f>HYPERLINK("http://sites.google.com/view/3denergy", "http://sites.google.com/view/3denergy")</f>
        <v/>
      </c>
      <c r="AA17" s="2" t="inlineStr"/>
      <c r="AB17" s="2" t="inlineStr"/>
      <c r="AC17" s="2" t="inlineStr">
        <is>
          <t>3D Printer</t>
        </is>
      </c>
      <c r="AD17" s="2" t="inlineStr">
        <is>
          <t>NSF</t>
        </is>
      </c>
      <c r="AE17" s="2" t="inlineStr"/>
      <c r="AF17" s="2" t="inlineStr">
        <is>
          <t>3D Energy Device Laboratory</t>
        </is>
      </c>
      <c r="AG17" s="2" t="inlineStr">
        <is>
          <t>551 E Tyler Mall ERC 363 (Tempe, AZ 85281)</t>
        </is>
      </c>
      <c r="AH17" s="2" t="b">
        <v>1</v>
      </c>
      <c r="AI17" s="3">
        <f>HYPERLINK("https://faculty.engineering.asu.edu/directory/semte/aerospace-and-mechanical-engineering/", "https://faculty.engineering.asu.edu/directory/semte/aerospace-and-mechanical-engineering/")</f>
        <v/>
      </c>
    </row>
    <row r="18">
      <c r="A18" s="2" t="inlineStr">
        <is>
          <t>Patrick Phelan</t>
        </is>
      </c>
      <c r="B18" s="2" t="inlineStr">
        <is>
          <t>Arizona State University</t>
        </is>
      </c>
      <c r="C18" s="3">
        <f>HYPERLINK("https://search.asu.edu/profile/pphelan", "https://search.asu.edu/profile/pphelan")</f>
        <v/>
      </c>
      <c r="D18" s="3">
        <f>HYPERLINK("https://scholar.google.com/citations?view_op=search_authors&amp;mauthors=Patrick%20Phelan%20Arizona%20State%20University", "Google Scholar Search")</f>
        <v/>
      </c>
      <c r="E18" s="2" t="inlineStr">
        <is>
          <t>Professor</t>
        </is>
      </c>
      <c r="F18" s="2" t="inlineStr">
        <is>
          <t>Aerospace &amp; Mechanical Engineering</t>
        </is>
      </c>
      <c r="G18" s="2" t="inlineStr"/>
      <c r="H18" s="3">
        <f>HYPERLINK("mailto:phelan@asu.edu", "phelan@asu.edu")</f>
        <v/>
      </c>
      <c r="I18" s="2" t="n">
        <v>2</v>
      </c>
      <c r="J18" s="2" t="inlineStr">
        <is>
          <t>🟡 Tier 2: Thermal / Heat Transfer / Energy</t>
        </is>
      </c>
      <c r="K18" s="2" t="n">
        <v>3</v>
      </c>
      <c r="L18" s="2" t="inlineStr">
        <is>
          <t>aerospace, energy systems, thermal</t>
        </is>
      </c>
      <c r="M18" s="2" t="inlineStr">
        <is>
          <t>Please see my publications at Google Scholar .</t>
        </is>
      </c>
      <c r="N18" s="2" t="inlineStr"/>
      <c r="O18" s="2" t="inlineStr"/>
      <c r="P18" s="2" t="inlineStr">
        <is>
          <t>MAE 593: Applied Project | MAE 494: Special Topics | MAE 598: Special Topics</t>
        </is>
      </c>
      <c r="Q18" s="2" t="inlineStr"/>
      <c r="R18" s="2" t="inlineStr"/>
      <c r="S18" s="2" t="inlineStr"/>
      <c r="T18" s="2" t="inlineStr"/>
      <c r="U18" s="2" t="inlineStr">
        <is>
          <t>Thermal engineering, sustainable energy systems, energy management, sustainable cooling systems.</t>
        </is>
      </c>
      <c r="V18" s="2" t="inlineStr">
        <is>
          <t>Building Technology, Solar Energy Systems, Energy Efficiency Technologies, Mechanical Engineering</t>
        </is>
      </c>
      <c r="W18" s="2" t="inlineStr">
        <is>
          <t>Phelan researches and teaches in the area of sustainable energy, thermal transport and thermal management.</t>
        </is>
      </c>
      <c r="X18"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Y18" s="2" t="inlineStr"/>
      <c r="Z18" s="2" t="inlineStr"/>
      <c r="AA18" s="2" t="inlineStr"/>
      <c r="AB18" s="2" t="inlineStr"/>
      <c r="AC18" s="2" t="inlineStr"/>
      <c r="AD18" s="2" t="inlineStr"/>
      <c r="AE18" s="2" t="inlineStr"/>
      <c r="AF18" s="2" t="inlineStr"/>
      <c r="AG18" s="2" t="inlineStr">
        <is>
          <t>ENGRC 463 (TEMPE, AZ 85287-6106)</t>
        </is>
      </c>
      <c r="AH18" s="2" t="b">
        <v>1</v>
      </c>
      <c r="AI18" s="3">
        <f>HYPERLINK("https://faculty.engineering.asu.edu/directory/semte/aerospace-and-mechanical-engineering/", "https://faculty.engineering.asu.edu/directory/semte/aerospace-and-mechanical-engineering/")</f>
        <v/>
      </c>
    </row>
    <row r="19">
      <c r="A19" s="2" t="inlineStr">
        <is>
          <t>Konrad Rykaczewski</t>
        </is>
      </c>
      <c r="B19" s="2" t="inlineStr">
        <is>
          <t>Arizona State University</t>
        </is>
      </c>
      <c r="C19" s="3">
        <f>HYPERLINK("https://search.asu.edu/profile/krykacze", "https://search.asu.edu/profile/krykacze")</f>
        <v/>
      </c>
      <c r="D19" s="3">
        <f>HYPERLINK("https://scholar.google.com/citations?hl=en&amp;user=SWeAf4UAAAAJ", "Scholar (SWeAf4UAAAAJ)")</f>
        <v/>
      </c>
      <c r="E19" s="2" t="inlineStr">
        <is>
          <t>Associate Professor</t>
        </is>
      </c>
      <c r="F19" s="2" t="inlineStr">
        <is>
          <t>Aerospace &amp; Mechanical Engineering</t>
        </is>
      </c>
      <c r="G19" s="2" t="inlineStr">
        <is>
          <t>SWeAf4UAAAAJ</t>
        </is>
      </c>
      <c r="H19" s="3">
        <f>HYPERLINK("mailto:konradr@asu.edu", "konradr@asu.edu")</f>
        <v/>
      </c>
      <c r="I19" s="2" t="n">
        <v>2</v>
      </c>
      <c r="J19" s="2" t="inlineStr">
        <is>
          <t>🟡 Tier 2: Thermal / Heat Transfer / Energy</t>
        </is>
      </c>
      <c r="K19" s="2" t="n">
        <v>2</v>
      </c>
      <c r="L19" s="2" t="inlineStr">
        <is>
          <t>materials, thermal</t>
        </is>
      </c>
      <c r="M19" s="2" t="inlineStr"/>
      <c r="N19" s="2" t="inlineStr"/>
      <c r="O19" s="2" t="inlineStr"/>
      <c r="P19" s="2" t="inlineStr">
        <is>
          <t>MAE 593: Applied Project | MAE 499: Individualized Instruction | MAE 586: Advanced Heat Transfer</t>
        </is>
      </c>
      <c r="Q19" s="2" t="inlineStr"/>
      <c r="R19" s="2" t="inlineStr"/>
      <c r="S19" s="2" t="inlineStr"/>
      <c r="T19" s="2" t="inlineStr"/>
      <c r="U19" s="2" t="inlineStr"/>
      <c r="V19" s="2" t="inlineStr"/>
      <c r="W19" s="2" t="inlineStr">
        <is>
          <t>Rykaczewski's research focuses on development of soft thermal materials and system as well as studying human thermal exposure in extreme heat.</t>
        </is>
      </c>
      <c r="X19" s="2" t="inlineStr">
        <is>
          <t>Ph.D. Mechanical Engineering, Georgia Institute of Technology 2009 | M.S. Mechanical Engineering, Georgia Institute of Technology 2007 | B.S. Mechanical Engineering, Georgia Institute of Technology 2005</t>
        </is>
      </c>
      <c r="Y19" s="2" t="inlineStr">
        <is>
          <t>Nano-Bio-Thermal Engineering Laboratory</t>
        </is>
      </c>
      <c r="Z19" s="3">
        <f>HYPERLINK("http://faculty.engineering.asu.edu/konrad/", "http://faculty.engineering.asu.edu/konrad/")</f>
        <v/>
      </c>
      <c r="AA19" s="2" t="inlineStr"/>
      <c r="AB19" s="2" t="inlineStr"/>
      <c r="AC19" s="2" t="inlineStr"/>
      <c r="AD19" s="2" t="inlineStr"/>
      <c r="AE19" s="2" t="inlineStr"/>
      <c r="AF19" s="2" t="inlineStr">
        <is>
          <t>Rykaczewski Lab</t>
        </is>
      </c>
      <c r="AG19" s="2" t="inlineStr">
        <is>
          <t>ENGRC 309 (Tempe, AZ 85287)</t>
        </is>
      </c>
      <c r="AH19" s="2" t="b">
        <v>1</v>
      </c>
      <c r="AI19" s="3">
        <f>HYPERLINK("https://faculty.engineering.asu.edu/directory/semte/aerospace-and-mechanical-engineering/", "https://faculty.engineering.asu.edu/directory/semte/aerospace-and-mechanical-engineering/")</f>
        <v/>
      </c>
    </row>
    <row r="20">
      <c r="A20" s="2" t="inlineStr">
        <is>
          <t>Jay Oswald</t>
        </is>
      </c>
      <c r="B20" s="2" t="inlineStr">
        <is>
          <t>Arizona State University</t>
        </is>
      </c>
      <c r="C20" s="3">
        <f>HYPERLINK("https://search.asu.edu/profile/joswald1", "https://search.asu.edu/profile/joswald1")</f>
        <v/>
      </c>
      <c r="D20" s="3">
        <f>HYPERLINK("https://scholar.google.com/citations?view_op=search_authors&amp;mauthors=Jay%20Oswald%20Arizona%20State%20University", "Google Scholar Search")</f>
        <v/>
      </c>
      <c r="E20" s="2" t="inlineStr">
        <is>
          <t>Associate Professor</t>
        </is>
      </c>
      <c r="F20" s="2" t="inlineStr">
        <is>
          <t>Aerospace &amp; Mechanical Engineering</t>
        </is>
      </c>
      <c r="G20" s="2" t="inlineStr"/>
      <c r="H20" s="3">
        <f>HYPERLINK("mailto:joswald1@asu.edu", "joswald1@asu.edu")</f>
        <v/>
      </c>
      <c r="I20" s="2" t="n">
        <v>3</v>
      </c>
      <c r="J20" s="2" t="inlineStr">
        <is>
          <t>🟠 Tier 3: Structures / Materials / Manufacturing</t>
        </is>
      </c>
      <c r="K20" s="2" t="n">
        <v>6</v>
      </c>
      <c r="L20" s="2" t="inlineStr">
        <is>
          <t>estimation, finite element, materials, robot, robotics, solid mechanics</t>
        </is>
      </c>
      <c r="M20" s="2" t="inlineStr"/>
      <c r="N20" s="2" t="inlineStr"/>
      <c r="O20" s="2" t="inlineStr"/>
      <c r="P20" s="2" t="inlineStr">
        <is>
          <t>MAE 404: Finite Elements in Engineering | MAE 503: Finite Elements in Engineering | MAE 593: Applied Project</t>
        </is>
      </c>
      <c r="Q20" s="2" t="inlineStr"/>
      <c r="R20" s="2" t="inlineStr">
        <is>
          <t>If you're interested in joining our group, please email Prof. Oswald with your CV, research interests, and any supporting materials such as publications or code samples.</t>
        </is>
      </c>
      <c r="S20" s="2" t="inlineStr"/>
      <c r="T20" s="2" t="inlineStr"/>
      <c r="U20" s="2" t="inlineStr">
        <is>
          <t>Development of computational mechanics: finite element methods, molecular dynamics, multiscale methods, failure analysis, and material design.</t>
        </is>
      </c>
      <c r="V20" s="2" t="inlineStr"/>
      <c r="W20" s="2" t="inlineStr">
        <is>
          <t>Dr. Oswald develops computational and AI-driven methods for advanced manufacturing, including laser welding, automated inspection, robotics, and computational mechanics.</t>
        </is>
      </c>
      <c r="X20" s="2" t="inlineStr">
        <is>
          <t>Ph.D. Mechanical Engineering, Northwestern University, Evanston, IL 2011 | M.S. Mechanical Engineering, Case Western Reserve University, Cleveland, OH 2005 | B.S. Mechanical Engineering, Case Western Reserve University, Cleveland, OH 2004</t>
        </is>
      </c>
      <c r="Y20" s="2" t="inlineStr">
        <is>
          <t>Computational Mechanics Lab</t>
        </is>
      </c>
      <c r="Z20" s="3">
        <f>HYPERLINK("http://sparky.fulton.asu.edu/oswald/", "http://sparky.fulton.asu.edu/oswald/")</f>
        <v/>
      </c>
      <c r="AA20" s="2" t="inlineStr"/>
      <c r="AB20" s="2" t="inlineStr"/>
      <c r="AC20" s="2" t="inlineStr"/>
      <c r="AD20" s="2" t="inlineStr"/>
      <c r="AE20" s="2" t="inlineStr"/>
      <c r="AF20" s="2" t="inlineStr">
        <is>
          <t>Multiscale polymer analysis</t>
        </is>
      </c>
      <c r="AG20" s="2" t="inlineStr">
        <is>
          <t>ENGRC 353 (Tempe, AZ 85287-6106)</t>
        </is>
      </c>
      <c r="AH20" s="2" t="b">
        <v>1</v>
      </c>
      <c r="AI20" s="3">
        <f>HYPERLINK("https://faculty.engineering.asu.edu/directory/semte/aerospace-and-mechanical-engineering/", "https://faculty.engineering.asu.edu/directory/semte/aerospace-and-mechanical-engineering/")</f>
        <v/>
      </c>
    </row>
    <row r="21">
      <c r="A21" s="2" t="inlineStr">
        <is>
          <t>Aditi Chattopadhyay</t>
        </is>
      </c>
      <c r="B21" s="2" t="inlineStr">
        <is>
          <t>Arizona State University</t>
        </is>
      </c>
      <c r="C21" s="3">
        <f>HYPERLINK("https://search.asu.edu/profile/chattopa", "https://search.asu.edu/profile/chattopa")</f>
        <v/>
      </c>
      <c r="D21" s="3">
        <f>HYPERLINK("https://scholar.google.com/citations?hl=en&amp;user=w3fU9E0AAAAJ", "Scholar (w3fU9E0AAAAJ)")</f>
        <v/>
      </c>
      <c r="E21" s="2" t="inlineStr">
        <is>
          <t>Regents Professor</t>
        </is>
      </c>
      <c r="F21" s="2" t="inlineStr">
        <is>
          <t>Aerospace &amp; Mechanical Engineering</t>
        </is>
      </c>
      <c r="G21" s="2" t="inlineStr">
        <is>
          <t>w3fU9E0AAAAJ</t>
        </is>
      </c>
      <c r="H21" s="3">
        <f>HYPERLINK("mailto:aditi@asu.edu", "aditi@asu.edu")</f>
        <v/>
      </c>
      <c r="I21" s="2" t="n">
        <v>3</v>
      </c>
      <c r="J21" s="2" t="inlineStr">
        <is>
          <t>🟠 Tier 3: Structures / Materials / Manufacturing</t>
        </is>
      </c>
      <c r="K21" s="2" t="n">
        <v>3</v>
      </c>
      <c r="L21" s="2" t="inlineStr">
        <is>
          <t>aerospace, materials, structural health monitoring</t>
        </is>
      </c>
      <c r="M21" s="2" t="inlineStr"/>
      <c r="N21" s="2" t="inlineStr"/>
      <c r="O21" s="2" t="inlineStr"/>
      <c r="P21" s="2" t="inlineStr">
        <is>
          <t>MAE 557: Mechanics Composite Materials | MAE 494: Special Topics | MAE 521: Structural Optimization</t>
        </is>
      </c>
      <c r="Q21" s="2" t="inlineStr"/>
      <c r="R21" s="2" t="inlineStr"/>
      <c r="S21" s="2" t="inlineStr"/>
      <c r="T21" s="2" t="inlineStr"/>
      <c r="U21" s="2" t="inlineStr"/>
      <c r="V21" s="2" t="inlineStr"/>
      <c r="W21" s="2" t="inlineStr">
        <is>
          <t>Chattopadhyay is the director of Adaptive Intelligent Materials and Systems (AIMS) Center at ASU. Her research focuses on structural health monitoring and damage prognosis, and multidisciplinary design optimization.</t>
        </is>
      </c>
      <c r="X21" s="2" t="inlineStr">
        <is>
          <t>Ph. D. Aerospace Engineering, Georgia Institute of Technology | M.S. Aerospace Engineering, Georgia Institute of Technology | B. Tech. Aeronautical Engineering (Honors), Indian Institute of Technology, Kharagpur, India 1980</t>
        </is>
      </c>
      <c r="Y21" s="2" t="inlineStr">
        <is>
          <t>Adaptive Intelligent Materials &amp; Systems (AIMS) Center</t>
        </is>
      </c>
      <c r="Z21" s="2" t="inlineStr"/>
      <c r="AA21" s="2" t="inlineStr"/>
      <c r="AB21" s="2" t="inlineStr"/>
      <c r="AC21" s="2" t="inlineStr"/>
      <c r="AD21" s="2" t="inlineStr"/>
      <c r="AE21" s="2" t="inlineStr"/>
      <c r="AF21" s="2" t="inlineStr"/>
      <c r="AG21" s="2" t="inlineStr">
        <is>
          <t>ENGRC 427 (TEMPE, AZ 85287-6106)</t>
        </is>
      </c>
      <c r="AH21" s="2" t="b">
        <v>1</v>
      </c>
      <c r="AI21" s="3">
        <f>HYPERLINK("https://faculty.engineering.asu.edu/directory/semte/aerospace-and-mechanical-engineering/", "https://faculty.engineering.asu.edu/directory/semte/aerospace-and-mechanical-engineering/")</f>
        <v/>
      </c>
    </row>
    <row r="22">
      <c r="A22" s="2" t="inlineStr">
        <is>
          <t>Leila Ladani</t>
        </is>
      </c>
      <c r="B22" s="2" t="inlineStr">
        <is>
          <t>Arizona State University</t>
        </is>
      </c>
      <c r="C22" s="3">
        <f>HYPERLINK("https://search.asu.edu/profile/ljannesa", "https://search.asu.edu/profile/ljannesa")</f>
        <v/>
      </c>
      <c r="D22" s="3">
        <f>HYPERLINK("https://scholar.google.com/citations?view_op=search_authors&amp;mauthors=Leila%20Ladani%20Arizona%20State%20University", "Google Scholar Search")</f>
        <v/>
      </c>
      <c r="E22" s="2" t="inlineStr">
        <is>
          <t>Professor</t>
        </is>
      </c>
      <c r="F22" s="2" t="inlineStr">
        <is>
          <t>Aerospace &amp; Mechanical Engineering</t>
        </is>
      </c>
      <c r="G22" s="2" t="inlineStr"/>
      <c r="H22" s="3">
        <f>HYPERLINK("mailto:ladani@asu.edu", "ladani@asu.edu")</f>
        <v/>
      </c>
      <c r="I22" s="2" t="n">
        <v>3</v>
      </c>
      <c r="J22" s="2" t="inlineStr">
        <is>
          <t>🟠 Tier 3: Structures / Materials / Manufacturing</t>
        </is>
      </c>
      <c r="K22" s="2" t="n">
        <v>3</v>
      </c>
      <c r="L22" s="2" t="inlineStr">
        <is>
          <t>aerospace, materials, solid mechanics</t>
        </is>
      </c>
      <c r="M22" s="2" t="inlineStr">
        <is>
          <t>New Publication by NRT Trainee Preston Regg Angell by rsanc113 | Mar 10, 2026 | News We are excited to share a new publication ...</t>
        </is>
      </c>
      <c r="N22" s="2" t="inlineStr"/>
      <c r="O22" s="2" t="inlineStr"/>
      <c r="P22" s="2" t="inlineStr">
        <is>
          <t>MAE 598: Special Topics | MAE 494: Special Topics | MAE 201: Mech. Particles/Rigid Bodies I</t>
        </is>
      </c>
      <c r="Q22" s="2" t="inlineStr"/>
      <c r="R22" s="2" t="inlineStr"/>
      <c r="S22" s="2" t="inlineStr"/>
      <c r="T22" s="2" t="inlineStr"/>
      <c r="U22"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V22" s="2" t="inlineStr">
        <is>
          <t>Additive Manufacturing, Manufacturing Engineering</t>
        </is>
      </c>
      <c r="W22" s="2" t="inlineStr">
        <is>
          <t>Dr. Ladani is a Professor of Mechanical and Aerospace Engineering at Arizona State University.</t>
        </is>
      </c>
      <c r="X22"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Y22" s="2" t="inlineStr">
        <is>
          <t>Manufacturing and Advanced Materials Characterization (MAGIC) Lab</t>
        </is>
      </c>
      <c r="Z22" s="3">
        <f>HYPERLINK("https://magic.asu.edu/", "https://magic.asu.edu/")</f>
        <v/>
      </c>
      <c r="AA22" s="2" t="inlineStr"/>
      <c r="AB22" s="2" t="inlineStr"/>
      <c r="AC22" s="2" t="inlineStr"/>
      <c r="AD22" s="2" t="inlineStr">
        <is>
          <t>NSF</t>
        </is>
      </c>
      <c r="AE22" s="2" t="inlineStr"/>
      <c r="AF22" s="2" t="inlineStr">
        <is>
          <t>Advancing manufacturing innovation</t>
        </is>
      </c>
      <c r="AG22" s="2" t="inlineStr">
        <is>
          <t>ISTB4, ROOM 379 781 S Terrace Rd (Tempe, AZ 85287)</t>
        </is>
      </c>
      <c r="AH22" s="2" t="b">
        <v>1</v>
      </c>
      <c r="AI22" s="3">
        <f>HYPERLINK("https://faculty.engineering.asu.edu/directory/semte/aerospace-and-mechanical-engineering/", "https://faculty.engineering.asu.edu/directory/semte/aerospace-and-mechanical-engineering/")</f>
        <v/>
      </c>
    </row>
    <row r="23">
      <c r="A23" s="2" t="inlineStr">
        <is>
          <t>Houlong Zhuang</t>
        </is>
      </c>
      <c r="B23" s="2" t="inlineStr">
        <is>
          <t>Arizona State University</t>
        </is>
      </c>
      <c r="C23" s="3">
        <f>HYPERLINK("https://search.asu.edu/profile/hzhuang7", "https://search.asu.edu/profile/hzhuang7")</f>
        <v/>
      </c>
      <c r="D23" s="3">
        <f>HYPERLINK("https://scholar.google.com/citations?hl=en&amp;user=4yYKCpUAAAAJ", "Scholar (4yYKCpUAAAAJ)")</f>
        <v/>
      </c>
      <c r="E23" s="2" t="inlineStr">
        <is>
          <t>Associate Professor</t>
        </is>
      </c>
      <c r="F23" s="2" t="inlineStr">
        <is>
          <t>Aerospace &amp; Mechanical Engineering</t>
        </is>
      </c>
      <c r="G23" s="2" t="inlineStr">
        <is>
          <t>4yYKCpUAAAAJ</t>
        </is>
      </c>
      <c r="H23" s="3">
        <f>HYPERLINK("mailto:zhuanghl@asu.edu", "zhuanghl@asu.edu")</f>
        <v/>
      </c>
      <c r="I23" s="2" t="n">
        <v>3</v>
      </c>
      <c r="J23" s="2" t="inlineStr">
        <is>
          <t>🟠 Tier 3: Structures / Materials / Manufacturing</t>
        </is>
      </c>
      <c r="K23" s="2" t="n">
        <v>2</v>
      </c>
      <c r="L23" s="2" t="inlineStr">
        <is>
          <t>aerospace, materials</t>
        </is>
      </c>
      <c r="M23" s="2" t="inlineStr"/>
      <c r="N23" s="2" t="inlineStr"/>
      <c r="O23" s="2" t="inlineStr"/>
      <c r="P23" s="2" t="inlineStr">
        <is>
          <t>MAE 551: Appl Machine Learn Mech Engr | MAE 451: Appl Machine Learn Mech Engr | MAE 202: Mech.Particles/Rigid Bodies II</t>
        </is>
      </c>
      <c r="Q23" s="2" t="inlineStr"/>
      <c r="R23" s="2" t="inlineStr"/>
      <c r="S23" s="2" t="inlineStr"/>
      <c r="T23" s="2" t="inlineStr"/>
      <c r="U23" s="2" t="inlineStr">
        <is>
          <t>Quantum simulations Machine learning Quantum computing</t>
        </is>
      </c>
      <c r="V23" s="2" t="inlineStr">
        <is>
          <t>Artificial Photosynthesis, Chemistry, Computational Physics, Machine Learning, Materials Science, Metals, Nanoscience, Semiconductors</t>
        </is>
      </c>
      <c r="W23"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X23"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Y23" s="2" t="inlineStr">
        <is>
          <t>Computational Materials Science and Design Lab</t>
        </is>
      </c>
      <c r="Z23" s="2" t="inlineStr"/>
      <c r="AA23" s="2" t="inlineStr"/>
      <c r="AB23" s="2" t="inlineStr"/>
      <c r="AC23" s="2" t="inlineStr"/>
      <c r="AD23" s="2" t="inlineStr"/>
      <c r="AE23" s="2" t="inlineStr"/>
      <c r="AF23" s="2" t="inlineStr"/>
      <c r="AG23" s="2" t="inlineStr">
        <is>
          <t>Campus: Tempe</t>
        </is>
      </c>
      <c r="AH23" s="2" t="b">
        <v>1</v>
      </c>
      <c r="AI23" s="3">
        <f>HYPERLINK("https://faculty.engineering.asu.edu/directory/semte/aerospace-and-mechanical-engineering/", "https://faculty.engineering.asu.edu/directory/semte/aerospace-and-mechanical-engineering/")</f>
        <v/>
      </c>
    </row>
    <row r="24">
      <c r="A24" s="2" t="inlineStr">
        <is>
          <t>Jagannathan Rajagopalan</t>
        </is>
      </c>
      <c r="B24" s="2" t="inlineStr">
        <is>
          <t>Arizona State University</t>
        </is>
      </c>
      <c r="C24" s="3">
        <f>HYPERLINK("https://search.asu.edu/profile/jrajago1", "https://search.asu.edu/profile/jrajago1")</f>
        <v/>
      </c>
      <c r="D24" s="3">
        <f>HYPERLINK("https://scholar.google.com/citations?hl=en&amp;user=ClqRIhIAAAAJ", "Scholar (ClqRIhIAAAAJ)")</f>
        <v/>
      </c>
      <c r="E24" s="2" t="inlineStr">
        <is>
          <t>Associate Professor</t>
        </is>
      </c>
      <c r="F24" s="2" t="inlineStr">
        <is>
          <t>Aerospace &amp; Mechanical Engineering</t>
        </is>
      </c>
      <c r="G24" s="2" t="inlineStr">
        <is>
          <t>ClqRIhIAAAAJ</t>
        </is>
      </c>
      <c r="H24" s="3">
        <f>HYPERLINK("mailto:Jagannathan.Rajagopalan@asu.edu", "Jagannathan.Rajagopalan@asu.edu")</f>
        <v/>
      </c>
      <c r="I24" s="2" t="n">
        <v>3</v>
      </c>
      <c r="J24" s="2" t="inlineStr">
        <is>
          <t>🟠 Tier 3: Structures / Materials / Manufacturing</t>
        </is>
      </c>
      <c r="K24" s="2" t="n">
        <v>2</v>
      </c>
      <c r="L24" s="2" t="inlineStr">
        <is>
          <t>aerospace, materials</t>
        </is>
      </c>
      <c r="M24" s="2" t="inlineStr"/>
      <c r="N24" s="2" t="inlineStr"/>
      <c r="O24" s="2" t="inlineStr"/>
      <c r="P24" s="2" t="inlineStr">
        <is>
          <t>MAE 593: Applied Project | MAE 519: Mechanics of Micro/Nano System | MAE 213: Mechanics of Materials</t>
        </is>
      </c>
      <c r="Q24" s="2" t="inlineStr">
        <is>
          <t>2017 Best poster award at the TMS Annual Meeting. 2015 NSF CAREER award. 2010 Keynote presentation, U.S. National Congre</t>
        </is>
      </c>
      <c r="R24" s="2" t="inlineStr"/>
      <c r="S24" s="2" t="inlineStr"/>
      <c r="T24" s="2" t="inlineStr"/>
      <c r="U24" s="2" t="inlineStr">
        <is>
          <t>Synthesis of nanocrystalline materials with tailored microstructures, Mechanics of nanostructured metal and alloy films, MEMS for in situ materials testing, Polymer based micro devices for cell mechanics and biohybrid platforms</t>
        </is>
      </c>
      <c r="V24" s="2" t="inlineStr">
        <is>
          <t>Thin Film Materials, Materials Science, Mechanical Engineering</t>
        </is>
      </c>
      <c r="W24" s="2" t="inlineStr">
        <is>
          <t>Rajagopalan's research focuses on the mechanics of nanoscale materials, cells and biological systems.</t>
        </is>
      </c>
      <c r="X24"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Y24" s="2" t="inlineStr">
        <is>
          <t>Nanomechanics Laboratory</t>
        </is>
      </c>
      <c r="Z24" s="3">
        <f>HYPERLINK("http://faculty.engineering.asu.edu/jagan/", "http://faculty.engineering.asu.edu/jagan/")</f>
        <v/>
      </c>
      <c r="AA24" s="2" t="inlineStr"/>
      <c r="AB24" s="2" t="inlineStr"/>
      <c r="AC24" s="2" t="inlineStr"/>
      <c r="AD24" s="2" t="inlineStr"/>
      <c r="AE24" s="2" t="inlineStr"/>
      <c r="AF24" s="2" t="inlineStr">
        <is>
          <t>Nanostructured Materials</t>
        </is>
      </c>
      <c r="AG24" s="2" t="inlineStr">
        <is>
          <t>ENGRC 355 (Tempe, AZ 85287-6106)</t>
        </is>
      </c>
      <c r="AH24" s="2" t="b">
        <v>1</v>
      </c>
      <c r="AI24" s="3">
        <f>HYPERLINK("https://faculty.engineering.asu.edu/directory/semte/aerospace-and-mechanical-engineering/", "https://faculty.engineering.asu.edu/directory/semte/aerospace-and-mechanical-engineering/")</f>
        <v/>
      </c>
    </row>
    <row r="25">
      <c r="A25" s="2" t="inlineStr">
        <is>
          <t>Minglei Qu</t>
        </is>
      </c>
      <c r="B25" s="2" t="inlineStr">
        <is>
          <t>Arizona State University</t>
        </is>
      </c>
      <c r="C25" s="3">
        <f>HYPERLINK("https://search.asu.edu/profile/mingleiq", "https://search.asu.edu/profile/mingleiq")</f>
        <v/>
      </c>
      <c r="D25" s="3">
        <f>HYPERLINK("https://scholar.google.com/citations?hl=en&amp;user=9LWNC50AAAAJ", "Scholar (9LWNC50AAAAJ)")</f>
        <v/>
      </c>
      <c r="E25" s="2" t="inlineStr">
        <is>
          <t>Assistant Professor</t>
        </is>
      </c>
      <c r="F25" s="2" t="inlineStr">
        <is>
          <t>Aerospace &amp; Mechanical Engineering</t>
        </is>
      </c>
      <c r="G25" s="2" t="inlineStr">
        <is>
          <t>9LWNC50AAAAJ</t>
        </is>
      </c>
      <c r="H25" s="3">
        <f>HYPERLINK("mailto:minglei.qu@asu.edu", "minglei.qu@asu.edu")</f>
        <v/>
      </c>
      <c r="I25" s="2" t="n">
        <v>3</v>
      </c>
      <c r="J25" s="2" t="inlineStr">
        <is>
          <t>🟠 Tier 3: Structures / Materials / Manufacturing</t>
        </is>
      </c>
      <c r="K25" s="2" t="n">
        <v>2</v>
      </c>
      <c r="L25" s="2" t="inlineStr">
        <is>
          <t>composites, materials</t>
        </is>
      </c>
      <c r="M25" s="2" t="inlineStr"/>
      <c r="N25" s="2" t="inlineStr"/>
      <c r="O25" s="2" t="inlineStr"/>
      <c r="P25" s="2" t="inlineStr">
        <is>
          <t>MAE 213: Mechanics of Materials | MAE 598: Special Topics</t>
        </is>
      </c>
      <c r="Q25" s="2" t="inlineStr"/>
      <c r="R25" s="2" t="inlineStr"/>
      <c r="S25" s="2" t="inlineStr"/>
      <c r="T25" s="2" t="inlineStr"/>
      <c r="U25"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V25" s="2" t="inlineStr"/>
      <c r="W25"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X25" s="2" t="inlineStr">
        <is>
          <t>PhD. Mechanical Engineering, University of Wisconsin-Madison 2023</t>
        </is>
      </c>
      <c r="Y25" s="2" t="inlineStr"/>
      <c r="Z25" s="2" t="inlineStr"/>
      <c r="AA25" s="2" t="inlineStr"/>
      <c r="AB25" s="2" t="inlineStr"/>
      <c r="AC25" s="2" t="inlineStr"/>
      <c r="AD25" s="2" t="inlineStr"/>
      <c r="AE25" s="2" t="inlineStr"/>
      <c r="AF25" s="2" t="inlineStr"/>
      <c r="AG25" s="2" t="inlineStr">
        <is>
          <t>Campus: Tempe</t>
        </is>
      </c>
      <c r="AH25" s="2" t="b">
        <v>1</v>
      </c>
      <c r="AI25" s="3">
        <f>HYPERLINK("https://faculty.engineering.asu.edu/directory/semte/aerospace-and-mechanical-engineering/", "https://faculty.engineering.asu.edu/directory/semte/aerospace-and-mechanical-engineering/")</f>
        <v/>
      </c>
    </row>
    <row r="26">
      <c r="A26" s="2" t="inlineStr">
        <is>
          <t>Qiong Nian</t>
        </is>
      </c>
      <c r="B26" s="2" t="inlineStr">
        <is>
          <t>Arizona State University</t>
        </is>
      </c>
      <c r="C26" s="3">
        <f>HYPERLINK("https://search.asu.edu/profile/qnian", "https://search.asu.edu/profile/qnian")</f>
        <v/>
      </c>
      <c r="D26" s="3">
        <f>HYPERLINK("https://scholar.google.com/citations?view_op=search_authors&amp;mauthors=Qiong%20Nian%20Arizona%20State%20University", "Google Scholar Search")</f>
        <v/>
      </c>
      <c r="E26" s="2" t="inlineStr">
        <is>
          <t>Associate Professor</t>
        </is>
      </c>
      <c r="F26" s="2" t="inlineStr">
        <is>
          <t>Aerospace &amp; Mechanical Engineering</t>
        </is>
      </c>
      <c r="G26" s="2" t="inlineStr"/>
      <c r="H26" s="3">
        <f>HYPERLINK("mailto:Qiong.Nian@asu.edu", "Qiong.Nian@asu.edu")</f>
        <v/>
      </c>
      <c r="I26" s="2" t="n">
        <v>3</v>
      </c>
      <c r="J26" s="2" t="inlineStr">
        <is>
          <t>🟠 Tier 3: Structures / Materials / Manufacturing</t>
        </is>
      </c>
      <c r="K26" s="2" t="n">
        <v>2</v>
      </c>
      <c r="L26" s="2" t="inlineStr">
        <is>
          <t>aerospace, materials</t>
        </is>
      </c>
      <c r="M26" s="2" t="inlineStr">
        <is>
          <t>Multi-scale Manufacturing Material Processing Lab (MMMPL) Welcome to the home page of the MMMPL! We are a team of engineers and...</t>
        </is>
      </c>
      <c r="N26" s="2" t="inlineStr"/>
      <c r="O26" s="2" t="inlineStr"/>
      <c r="P26" s="2" t="inlineStr">
        <is>
          <t>MAE 593: Applied Project | MAE 545: Modern Manufacturing Methods | MAE 499: Individualized Instruction</t>
        </is>
      </c>
      <c r="Q26" s="2" t="inlineStr"/>
      <c r="R26" s="2" t="inlineStr"/>
      <c r="S26" s="2" t="inlineStr"/>
      <c r="T26" s="2" t="inlineStr"/>
      <c r="U26" s="2" t="inlineStr">
        <is>
          <t>Nanomanufacturing, additive manufacturing, laser-based material processing, laser matter interaction and physics simulation; inkjet printing of functional materials; and 2D materials fabrication for energy storage and bio-sensors.</t>
        </is>
      </c>
      <c r="V26" s="2" t="inlineStr">
        <is>
          <t>Additive Manufacturing, Manufacturing Engineering, Mechanical Engineering</t>
        </is>
      </c>
      <c r="W26" s="2" t="inlineStr">
        <is>
          <t>Nian's research interests include additive manufacturing, laser-based manufacturing and material processing, laser matter interaction and physics simulation, and functional materials for energy storage and bio-sensors.</t>
        </is>
      </c>
      <c r="X26" s="2" t="inlineStr">
        <is>
          <t>Ph.D. Manufacturing, Industrial Engineering, Purdue University 2015 | B.Sc. Materials Science and Engineering, University of Science and Technology of China 2009</t>
        </is>
      </c>
      <c r="Y26" s="2" t="inlineStr"/>
      <c r="Z26" s="3">
        <f>HYPERLINK("https://mmmplab.engineering.asu.edu/", "https://mmmplab.engineering.asu.edu/")</f>
        <v/>
      </c>
      <c r="AA26" s="2" t="inlineStr"/>
      <c r="AB26" s="2" t="inlineStr"/>
      <c r="AC26" s="2" t="inlineStr"/>
      <c r="AD26" s="2" t="inlineStr">
        <is>
          <t>NSF</t>
        </is>
      </c>
      <c r="AE26" s="2" t="inlineStr"/>
      <c r="AF26" s="2" t="inlineStr">
        <is>
          <t>Multi-scale Manufacturing Material Processing Lab (MMMPL)</t>
        </is>
      </c>
      <c r="AG26" s="2" t="inlineStr">
        <is>
          <t>Campus: Tempe</t>
        </is>
      </c>
      <c r="AH26" s="2" t="b">
        <v>1</v>
      </c>
      <c r="AI26" s="3">
        <f>HYPERLINK("https://faculty.engineering.asu.edu/directory/semte/aerospace-and-mechanical-engineering/", "https://faculty.engineering.asu.edu/directory/semte/aerospace-and-mechanical-engineering/")</f>
        <v/>
      </c>
    </row>
    <row r="27">
      <c r="A27" s="2" t="inlineStr">
        <is>
          <t>Yongming Liu</t>
        </is>
      </c>
      <c r="B27" s="2" t="inlineStr">
        <is>
          <t>Arizona State University</t>
        </is>
      </c>
      <c r="C27" s="3">
        <f>HYPERLINK("https://search.asu.edu/profile/yliu35", "https://search.asu.edu/profile/yliu35")</f>
        <v/>
      </c>
      <c r="D27" s="3">
        <f>HYPERLINK("https://scholar.google.com/citations?view_op=search_authors&amp;mauthors=Yongming%20Liu%20Arizona%20State%20University", "Google Scholar Search")</f>
        <v/>
      </c>
      <c r="E27" s="2" t="inlineStr">
        <is>
          <t>Professor</t>
        </is>
      </c>
      <c r="F27" s="2" t="inlineStr">
        <is>
          <t>Aerospace &amp; Mechanical Engineering</t>
        </is>
      </c>
      <c r="G27" s="2" t="inlineStr"/>
      <c r="H27" s="3">
        <f>HYPERLINK("mailto:Yongming.Liu@asu.edu", "Yongming.Liu@asu.edu")</f>
        <v/>
      </c>
      <c r="I27" s="2" t="n">
        <v>3</v>
      </c>
      <c r="J27" s="2" t="inlineStr">
        <is>
          <t>🟠 Tier 3: Structures / Materials / Manufacturing</t>
        </is>
      </c>
      <c r="K27" s="2" t="n">
        <v>2</v>
      </c>
      <c r="L27" s="2" t="inlineStr">
        <is>
          <t>aerospace, materials</t>
        </is>
      </c>
      <c r="M27" s="2" t="inlineStr"/>
      <c r="N27" s="2" t="inlineStr"/>
      <c r="O27" s="2" t="inlineStr"/>
      <c r="P27" s="2" t="inlineStr">
        <is>
          <t>MAE 548: Prob Methods for Eng Des/Analy | MAE 593: Applied Project | MAE 584: Internship</t>
        </is>
      </c>
      <c r="Q27" s="2" t="inlineStr"/>
      <c r="R27" s="2" t="inlineStr"/>
      <c r="S27" s="2" t="inlineStr"/>
      <c r="T27" s="2" t="inlineStr"/>
      <c r="U27"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V27" s="2" t="inlineStr"/>
      <c r="W27" s="2" t="inlineStr">
        <is>
          <t>Liu heads the Prognostic Analysis and Reliability Assessment Laboratory (PARA). He joined ASU in 2012.</t>
        </is>
      </c>
      <c r="X27" s="2" t="inlineStr">
        <is>
          <t>Ph.D. Civil Engineering, Vanderbilt University 2006 | M.S. Structural Engineering, Tongji University, Shanghai, China 2002 | B.S. Structural Engineering, Tongji University, Shanghai, China 1999</t>
        </is>
      </c>
      <c r="Y27" s="2" t="inlineStr">
        <is>
          <t>Prognostics and Health Management (PHM) Lab</t>
        </is>
      </c>
      <c r="Z27" s="2" t="inlineStr"/>
      <c r="AA27" s="2" t="inlineStr"/>
      <c r="AB27" s="2" t="inlineStr"/>
      <c r="AC27" s="2" t="inlineStr"/>
      <c r="AD27" s="2" t="inlineStr"/>
      <c r="AE27" s="2" t="inlineStr"/>
      <c r="AF27" s="2" t="inlineStr"/>
      <c r="AG27" s="2" t="inlineStr">
        <is>
          <t>ENGRC 409 (Tempe, AZ 85287-6106)</t>
        </is>
      </c>
      <c r="AH27" s="2" t="b">
        <v>1</v>
      </c>
      <c r="AI27" s="3">
        <f>HYPERLINK("https://faculty.engineering.asu.edu/directory/semte/aerospace-and-mechanical-engineering/", "https://faculty.engineering.asu.edu/directory/semte/aerospace-and-mechanical-engineering/")</f>
        <v/>
      </c>
    </row>
    <row r="28">
      <c r="A28" s="2" t="inlineStr">
        <is>
          <t>Cindy (Xiangjia) Li</t>
        </is>
      </c>
      <c r="B28" s="2" t="inlineStr">
        <is>
          <t>Arizona State University</t>
        </is>
      </c>
      <c r="C28" s="3">
        <f>HYPERLINK("https://search.asu.edu/profile/xiangji5", "https://search.asu.edu/profile/xiangji5")</f>
        <v/>
      </c>
      <c r="D28" s="3">
        <f>HYPERLINK("https://scholar.google.com/citations?hl=en&amp;user=tGQzHJIAAAAJ", "Scholar (tGQzHJIAAAAJ)")</f>
        <v/>
      </c>
      <c r="E28" s="2" t="inlineStr">
        <is>
          <t>Associate Professor</t>
        </is>
      </c>
      <c r="F28" s="2" t="inlineStr">
        <is>
          <t>Aerospace &amp; Mechanical Engineering</t>
        </is>
      </c>
      <c r="G28" s="2" t="inlineStr">
        <is>
          <t>tGQzHJIAAAAJ</t>
        </is>
      </c>
      <c r="H28" s="3">
        <f>HYPERLINK("mailto:xiangjia.li@asu.edu", "xiangjia.li@asu.edu")</f>
        <v/>
      </c>
      <c r="I28" s="2" t="n">
        <v>3</v>
      </c>
      <c r="J28" s="2" t="inlineStr">
        <is>
          <t>🟠 Tier 3: Structures / Materials / Manufacturing</t>
        </is>
      </c>
      <c r="K28" s="2" t="n">
        <v>1</v>
      </c>
      <c r="L28" s="2" t="inlineStr">
        <is>
          <t>materials</t>
        </is>
      </c>
      <c r="M28" s="2" t="inlineStr">
        <is>
          <t>Dylan Joralmon~, Soham Khairnar, Xiangjia Li*, "Rapid Fabrication of Multi-Metal 3D Objects with Adjustable Gradients by Contin...</t>
        </is>
      </c>
      <c r="N28" s="2" t="inlineStr"/>
      <c r="O28" s="2" t="inlineStr"/>
      <c r="P28" s="2" t="inlineStr">
        <is>
          <t>MAE 301: Applied Experimental Statistic | MAE 593: Applied Project | MAE 494: Special Topics</t>
        </is>
      </c>
      <c r="Q28" s="2" t="inlineStr">
        <is>
          <t>2026 The J. Orin Edson Entrepreneurship &amp; Innovation Seed Funding Award ASU 2025 1st place Skysong Startup Competition C</t>
        </is>
      </c>
      <c r="R28" s="2" t="inlineStr">
        <is>
          <t>If you are interested in joining us, please send the full CV (with GPA; working and research experiences; publications) to Prof. Li (email: xiangjia.li AT asu.edu).</t>
        </is>
      </c>
      <c r="S28" s="2" t="inlineStr"/>
      <c r="T28" s="2" t="inlineStr"/>
      <c r="U28"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V28" s="2" t="inlineStr">
        <is>
          <t>Ceramic Technology, Mechanics of Composite Materials, Mechanical Engineering, Biomimicry, 3D Printing, Additive Manufacturing, Manufacturing Engineering</t>
        </is>
      </c>
      <c r="W28" s="2" t="inlineStr">
        <is>
          <t>Xiangjia (Cindy) Li is an Associate Professor at Arizona State University. Her research focuses on multiscale, multimaterial additive manufacturing and bioinspired design for functional materials and devices.</t>
        </is>
      </c>
      <c r="X28"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Y28" s="2" t="inlineStr">
        <is>
          <t>Advanced Manufacturing and Bio-inspired Design Lab</t>
        </is>
      </c>
      <c r="Z28" s="3">
        <f>HYPERLINK("https://www.cindyxjli.com/", "https://www.cindyxjli.com/")</f>
        <v/>
      </c>
      <c r="AA28" s="2" t="inlineStr">
        <is>
          <t>The labMI is looking for creative, motivated and energetic Ph.D., Master and Undergraduate students from diverse science and engineering field!</t>
        </is>
      </c>
      <c r="AB28" s="2" t="inlineStr"/>
      <c r="AC28" s="2" t="inlineStr"/>
      <c r="AD28" s="2" t="inlineStr">
        <is>
          <t>NSF</t>
        </is>
      </c>
      <c r="AE28" s="2" t="inlineStr"/>
      <c r="AF28" s="2" t="inlineStr">
        <is>
          <t>Manufacturing</t>
        </is>
      </c>
      <c r="AG28" s="2" t="inlineStr">
        <is>
          <t>ERC457 551 E Tyler Mall (Tempe, AZ 85281)</t>
        </is>
      </c>
      <c r="AH28" s="2" t="b">
        <v>1</v>
      </c>
      <c r="AI28" s="3">
        <f>HYPERLINK("https://faculty.engineering.asu.edu/directory/semte/aerospace-and-mechanical-engineering/", "https://faculty.engineering.asu.edu/directory/semte/aerospace-and-mechanical-engineering/")</f>
        <v/>
      </c>
    </row>
    <row r="29">
      <c r="A29" s="2" t="inlineStr">
        <is>
          <t>Lin Li</t>
        </is>
      </c>
      <c r="B29" s="2" t="inlineStr">
        <is>
          <t>Arizona State University</t>
        </is>
      </c>
      <c r="C29" s="3">
        <f>HYPERLINK("https://search.asu.edu/profile/linli25", "https://search.asu.edu/profile/linli25")</f>
        <v/>
      </c>
      <c r="D29" s="3">
        <f>HYPERLINK("https://scholar.google.com/citations?view_op=search_authors&amp;mauthors=Lin%20Li%20Arizona%20State%20University", "Google Scholar Search")</f>
        <v/>
      </c>
      <c r="E29" s="2" t="inlineStr">
        <is>
          <t>Associate Professor</t>
        </is>
      </c>
      <c r="F29" s="2" t="inlineStr">
        <is>
          <t>Aerospace &amp; Mechanical Engineering</t>
        </is>
      </c>
      <c r="G29" s="2" t="inlineStr"/>
      <c r="H29" s="3">
        <f>HYPERLINK("mailto:Lin.Li.10@asu.edu", "Lin.Li.10@asu.edu")</f>
        <v/>
      </c>
      <c r="I29" s="2" t="n">
        <v>3</v>
      </c>
      <c r="J29" s="2" t="inlineStr">
        <is>
          <t>🟠 Tier 3: Structures / Materials / Manufacturing</t>
        </is>
      </c>
      <c r="K29" s="2" t="n">
        <v>1</v>
      </c>
      <c r="L29" s="2" t="inlineStr">
        <is>
          <t>materials</t>
        </is>
      </c>
      <c r="M29" s="2" t="inlineStr"/>
      <c r="N29" s="2" t="inlineStr"/>
      <c r="O29" s="2" t="inlineStr"/>
      <c r="P29" s="2" t="inlineStr">
        <is>
          <t>MAE 520: Stress Analysis | MAE 499: Individualized Instruction | MAE 598: Special Topics</t>
        </is>
      </c>
      <c r="Q29" s="2" t="inlineStr"/>
      <c r="R29" s="2" t="inlineStr"/>
      <c r="S29" s="2" t="inlineStr"/>
      <c r="T29" s="2" t="inlineStr"/>
      <c r="U29" s="2" t="inlineStr"/>
      <c r="V29" s="2" t="inlineStr"/>
      <c r="W29" s="2" t="inlineStr">
        <is>
          <t>Li uses multiscale material mechanics models, computational and data tools to explore advanced materials for extreme environments.</t>
        </is>
      </c>
      <c r="X29" s="2" t="inlineStr">
        <is>
          <t>PhD The Ohio State University</t>
        </is>
      </c>
      <c r="Y29" s="2" t="inlineStr"/>
      <c r="Z29" s="2" t="inlineStr"/>
      <c r="AA29" s="2" t="inlineStr"/>
      <c r="AB29" s="2" t="inlineStr"/>
      <c r="AC29" s="2" t="inlineStr"/>
      <c r="AD29" s="2" t="inlineStr"/>
      <c r="AE29" s="2" t="inlineStr"/>
      <c r="AF29" s="2" t="inlineStr"/>
      <c r="AG29" s="2" t="inlineStr">
        <is>
          <t>Campus: Tempe</t>
        </is>
      </c>
      <c r="AH29" s="2" t="b">
        <v>1</v>
      </c>
      <c r="AI29" s="3">
        <f>HYPERLINK("https://faculty.engineering.asu.edu/directory/semte/aerospace-and-mechanical-engineering/", "https://faculty.engineering.asu.edu/directory/semte/aerospace-and-mechanical-engineering/")</f>
        <v/>
      </c>
    </row>
    <row r="30">
      <c r="A30" s="2" t="inlineStr">
        <is>
          <t>Pedro Peralta</t>
        </is>
      </c>
      <c r="B30" s="2" t="inlineStr">
        <is>
          <t>Arizona State University</t>
        </is>
      </c>
      <c r="C30" s="3">
        <f>HYPERLINK("https://search.asu.edu/profile/pperalta", "https://search.asu.edu/profile/pperalta")</f>
        <v/>
      </c>
      <c r="D30" s="3">
        <f>HYPERLINK("https://scholar.google.com/citations?view_op=search_authors&amp;mauthors=Pedro%20Peralta%20Arizona%20State%20University", "Google Scholar Search")</f>
        <v/>
      </c>
      <c r="E30" s="2" t="inlineStr">
        <is>
          <t>Professor</t>
        </is>
      </c>
      <c r="F30" s="2" t="inlineStr">
        <is>
          <t>Aerospace &amp; Mechanical Engineering</t>
        </is>
      </c>
      <c r="G30" s="2" t="inlineStr"/>
      <c r="H30" s="3">
        <f>HYPERLINK("mailto:pperalta@asu.edu", "pperalta@asu.edu")</f>
        <v/>
      </c>
      <c r="I30" s="2" t="n">
        <v>3</v>
      </c>
      <c r="J30" s="2" t="inlineStr">
        <is>
          <t>🟠 Tier 3: Structures / Materials / Manufacturing</t>
        </is>
      </c>
      <c r="K30" s="2" t="n">
        <v>1</v>
      </c>
      <c r="L30" s="2" t="inlineStr">
        <is>
          <t>materials</t>
        </is>
      </c>
      <c r="M30" s="2" t="inlineStr"/>
      <c r="N30" s="2" t="inlineStr"/>
      <c r="O30" s="2" t="inlineStr"/>
      <c r="P30" s="2" t="inlineStr">
        <is>
          <t>MAE 213: Mechanics of Materials | MAE 593: Applied Project | MAE 520: Stress Analysis</t>
        </is>
      </c>
      <c r="Q30" s="2" t="inlineStr"/>
      <c r="R30" s="2" t="inlineStr"/>
      <c r="S30" s="2" t="inlineStr"/>
      <c r="T30" s="2" t="inlineStr"/>
      <c r="U30" s="2" t="inlineStr"/>
      <c r="V30" s="2" t="inlineStr"/>
      <c r="W30" s="2" t="inlineStr">
        <is>
          <t>Peralta's research focuses on mechanics of materials, fatigue and fracture of metallic alloys, dynamic and shock loading of metallic and intermetallic materials.</t>
        </is>
      </c>
      <c r="X30" s="2" t="inlineStr">
        <is>
          <t>Ph.D. Materials Science and Engineering, University of Pennsylvania | M.S. Mechanical Engineering and Applied Mechanics, University of Pennsylvania | Bachelor’s degree. Mechanical Engineering, Universidad Simón Bolívar, Caracas, Venezuela</t>
        </is>
      </c>
      <c r="Y30" s="2" t="inlineStr"/>
      <c r="Z30" s="3">
        <f>HYPERLINK("https://faculty.engineering.asu.edu/pperalta/", "https://faculty.engineering.asu.edu/pperalta/")</f>
        <v/>
      </c>
      <c r="AA30" s="2" t="inlineStr"/>
      <c r="AB30" s="2" t="inlineStr"/>
      <c r="AC30" s="2" t="inlineStr"/>
      <c r="AD30" s="2" t="inlineStr"/>
      <c r="AE30" s="2" t="inlineStr"/>
      <c r="AF30" s="2" t="inlineStr"/>
      <c r="AG30" s="2" t="inlineStr">
        <is>
          <t>ENGRC 352 (TEMPE, AZ 85287-6106)</t>
        </is>
      </c>
      <c r="AH30" s="2" t="b">
        <v>1</v>
      </c>
      <c r="AI30" s="3">
        <f>HYPERLINK("https://faculty.engineering.asu.edu/directory/semte/aerospace-and-mechanical-engineering/", "https://faculty.engineering.asu.edu/directory/semte/aerospace-and-mechanical-engineering/")</f>
        <v/>
      </c>
    </row>
    <row r="31">
      <c r="A31" s="2" t="inlineStr">
        <is>
          <t>Wonmo Kang</t>
        </is>
      </c>
      <c r="B31" s="2" t="inlineStr">
        <is>
          <t>Arizona State University</t>
        </is>
      </c>
      <c r="C31" s="3">
        <f>HYPERLINK("https://search.asu.edu/profile/wkang16", "https://search.asu.edu/profile/wkang16")</f>
        <v/>
      </c>
      <c r="D31" s="3">
        <f>HYPERLINK("https://scholar.google.com/citations?hl=en&amp;user=bHyyOTAAAAAJ", "Scholar (bHyyOTAAAAAJ)")</f>
        <v/>
      </c>
      <c r="E31" s="2" t="inlineStr">
        <is>
          <t>Associate Professor</t>
        </is>
      </c>
      <c r="F31" s="2" t="inlineStr">
        <is>
          <t>Aerospace &amp; Mechanical Engineering</t>
        </is>
      </c>
      <c r="G31" s="2" t="inlineStr">
        <is>
          <t>bHyyOTAAAAAJ</t>
        </is>
      </c>
      <c r="H31" s="3">
        <f>HYPERLINK("mailto:Wonmo.Kang@asu.edu", "Wonmo.Kang@asu.edu")</f>
        <v/>
      </c>
      <c r="I31" s="2" t="n">
        <v>3</v>
      </c>
      <c r="J31" s="2" t="inlineStr">
        <is>
          <t>🟠 Tier 3: Structures / Materials / Manufacturing</t>
        </is>
      </c>
      <c r="K31" s="2" t="n">
        <v>1</v>
      </c>
      <c r="L31" s="2" t="inlineStr">
        <is>
          <t>materials</t>
        </is>
      </c>
      <c r="M31" s="2" t="inlineStr">
        <is>
          <t>top of page This website was built on Wix. Create yours today. Get Started Bio &amp; Nano Lab Home Dr. Kang Lab Members Publication...</t>
        </is>
      </c>
      <c r="N31" s="2" t="inlineStr"/>
      <c r="O31" s="2" t="inlineStr"/>
      <c r="P31" s="2" t="inlineStr">
        <is>
          <t>MAE 598: Special Topics | MAE 494: Special Topics | MAE 202: Mech.Particles/Rigid Bodies II</t>
        </is>
      </c>
      <c r="Q31" s="2" t="inlineStr">
        <is>
          <t>NSF Career Award through the Advanced Manufacturing (AM) program, 2024. | U.S. Air Force Research Lab Summer Faculty (AFRL) Fellowship , 2021.</t>
        </is>
      </c>
      <c r="R31" s="2" t="inlineStr"/>
      <c r="S31" s="2" t="inlineStr"/>
      <c r="T31" s="2" t="inlineStr"/>
      <c r="U31" s="2" t="inlineStr">
        <is>
          <t>Mechanics of Composite Materials, Micro and Nanoscale Bioengineering, Nanotechnology, Thin Film Materials</t>
        </is>
      </c>
      <c r="V31" s="2" t="inlineStr">
        <is>
          <t>Mechanics of Composite Materials, Micro and Nanoscale Bioengineering, Nanotechnology, Thin Film Materials</t>
        </is>
      </c>
      <c r="W31" s="2" t="inlineStr">
        <is>
          <t>Kang's current research interests include functional materials for energy/manufacturing applications and biomaterials/biomechanics for injury and wound healing mechanisms.</t>
        </is>
      </c>
      <c r="X31" s="2" t="inlineStr">
        <is>
          <t>Ph.D. Mechanical Science and Engineering, University of Illinois at Urbana-Champaign 2012</t>
        </is>
      </c>
      <c r="Y31" s="2" t="inlineStr"/>
      <c r="Z31" s="3">
        <f>HYPERLINK("https://wonmokang3.wixsite.com/website", "https://wonmokang3.wixsite.com/website")</f>
        <v/>
      </c>
      <c r="AA31" s="2" t="inlineStr">
        <is>
          <t>Actively recruiting / Openings mentioned on lab site</t>
        </is>
      </c>
      <c r="AB31" s="2" t="inlineStr"/>
      <c r="AC31" s="2" t="inlineStr">
        <is>
          <t>SEM</t>
        </is>
      </c>
      <c r="AD31" s="2" t="inlineStr">
        <is>
          <t>NSF, ONR</t>
        </is>
      </c>
      <c r="AE31" s="2" t="inlineStr"/>
      <c r="AF31" s="2" t="inlineStr">
        <is>
          <t>Highlighted as a cover in Small</t>
        </is>
      </c>
      <c r="AG31" s="2" t="inlineStr">
        <is>
          <t>Campus: Tempe</t>
        </is>
      </c>
      <c r="AH31" s="2" t="b">
        <v>1</v>
      </c>
      <c r="AI31" s="3">
        <f>HYPERLINK("https://faculty.engineering.asu.edu/directory/semte/aerospace-and-mechanical-engineering/", "https://faculty.engineering.asu.edu/directory/semte/aerospace-and-mechanical-engineering/")</f>
        <v/>
      </c>
    </row>
    <row r="32">
      <c r="A32" s="2" t="inlineStr">
        <is>
          <t>Jiefeng Sun</t>
        </is>
      </c>
      <c r="B32" s="2" t="inlineStr">
        <is>
          <t>Arizona State University</t>
        </is>
      </c>
      <c r="C32" s="3">
        <f>HYPERLINK("https://search.asu.edu/profile/jsun165", "https://search.asu.edu/profile/jsun165")</f>
        <v/>
      </c>
      <c r="D32" s="3">
        <f>HYPERLINK("https://scholar.google.com/citations?hl=en&amp;user=fjUoHOsAAAAJ", "Scholar (fjUoHOsAAAAJ)")</f>
        <v/>
      </c>
      <c r="E32" s="2" t="inlineStr">
        <is>
          <t>Assistant Professor</t>
        </is>
      </c>
      <c r="F32" s="2" t="inlineStr">
        <is>
          <t>Aerospace &amp; Mechanical Engineering</t>
        </is>
      </c>
      <c r="G32" s="2" t="inlineStr">
        <is>
          <t>fjUoHOsAAAAJ</t>
        </is>
      </c>
      <c r="H32" s="3">
        <f>HYPERLINK("mailto:Jiefeng.Sun@asu.edu", "Jiefeng.Sun@asu.edu")</f>
        <v/>
      </c>
      <c r="I32" s="2" t="n">
        <v>4</v>
      </c>
      <c r="J32" s="2" t="inlineStr">
        <is>
          <t>🔴 Tier 4: Robotics / Controls / Autonomy</t>
        </is>
      </c>
      <c r="K32" s="2" t="n">
        <v>6</v>
      </c>
      <c r="L32" s="2" t="inlineStr">
        <is>
          <t>aerospace, autonomous, materials, robot, robotics, smart materials</t>
        </is>
      </c>
      <c r="M32" s="2" t="inlineStr">
        <is>
          <t>2026 Versatile artificial muscles by decoupling anisotropy Eric Weissman, Rohan Khatavkar, and Jiefeng Sun Proceedings of the N...</t>
        </is>
      </c>
      <c r="N32" s="2" t="inlineStr"/>
      <c r="O32" s="2" t="inlineStr"/>
      <c r="P32" s="2" t="inlineStr">
        <is>
          <t>MAE 547: Modeling and Control of Robots | MAE 593: Applied Project | MAE 499: Individualized Instruction</t>
        </is>
      </c>
      <c r="Q32" s="2" t="inlineStr"/>
      <c r="R32"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S32" s="2" t="inlineStr"/>
      <c r="T32" s="2" t="inlineStr"/>
      <c r="U32" s="2" t="inlineStr">
        <is>
          <t>Hire students to conduct research https://sunroboticslab.github.io</t>
        </is>
      </c>
      <c r="V32" s="2" t="inlineStr">
        <is>
          <t>Autonomous Technologies, Control Systems, Mechanical Engineering, Robotics</t>
        </is>
      </c>
      <c r="W32" s="2" t="inlineStr">
        <is>
          <t>Sun's research focuses on the design, dynamics, and control of soft robots and artificial muscles</t>
        </is>
      </c>
      <c r="X32" s="2" t="inlineStr">
        <is>
          <t>Ph.D. in Robotics and Control, Colorado State University, 2022 M.S. in Mechanical Engineering, Dalian University of Technology, 2017 B.S. in Mechanical Engineering, Lanzhou University of Technology, 2014</t>
        </is>
      </c>
      <c r="Y32" s="2" t="inlineStr">
        <is>
          <t>Sun Robotics Lab</t>
        </is>
      </c>
      <c r="Z32" s="3">
        <f>HYPERLINK("https://sunroboticslab.github.io", "https://sunroboticslab.github.io")</f>
        <v/>
      </c>
      <c r="AA32"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AB32" s="2" t="inlineStr"/>
      <c r="AC32" s="2" t="inlineStr"/>
      <c r="AD32" s="2" t="inlineStr"/>
      <c r="AE32" s="2" t="inlineStr"/>
      <c r="AF32" s="2" t="inlineStr">
        <is>
          <t>Mission and Core Values</t>
        </is>
      </c>
      <c r="AG32" s="2" t="inlineStr">
        <is>
          <t>Campus: Tempe</t>
        </is>
      </c>
      <c r="AH32" s="2" t="b">
        <v>1</v>
      </c>
      <c r="AI32" s="3">
        <f>HYPERLINK("https://faculty.engineering.asu.edu/directory/semte/aerospace-and-mechanical-engineering/", "https://faculty.engineering.asu.edu/directory/semte/aerospace-and-mechanical-engineering/")</f>
        <v/>
      </c>
    </row>
    <row r="33">
      <c r="A33" s="2" t="inlineStr">
        <is>
          <t>Kunal Garg</t>
        </is>
      </c>
      <c r="B33" s="2" t="inlineStr">
        <is>
          <t>Arizona State University</t>
        </is>
      </c>
      <c r="C33" s="3">
        <f>HYPERLINK("https://search.asu.edu/profile/kgarg24", "https://search.asu.edu/profile/kgarg24")</f>
        <v/>
      </c>
      <c r="D33" s="3">
        <f>HYPERLINK("https://scholar.google.com/citations?hl=en&amp;user=vs3pl-8AAAAJ", "Scholar (vs3pl-8AAAAJ)")</f>
        <v/>
      </c>
      <c r="E33" s="2" t="inlineStr">
        <is>
          <t>Assistant Professor</t>
        </is>
      </c>
      <c r="F33" s="2" t="inlineStr">
        <is>
          <t>Aerospace &amp; Mechanical Engineering</t>
        </is>
      </c>
      <c r="G33" s="2" t="inlineStr">
        <is>
          <t>vs3pl-8AAAAJ</t>
        </is>
      </c>
      <c r="H33" s="3">
        <f>HYPERLINK("mailto:kgarg24@asu.edu", "kgarg24@asu.edu")</f>
        <v/>
      </c>
      <c r="I33" s="2" t="n">
        <v>4</v>
      </c>
      <c r="J33" s="2" t="inlineStr">
        <is>
          <t>🔴 Tier 4: Robotics / Controls / Autonomy</t>
        </is>
      </c>
      <c r="K33" s="2" t="n">
        <v>6</v>
      </c>
      <c r="L33" s="2" t="inlineStr">
        <is>
          <t>aerospace, autonomous, control theory, motion planning, robot, robotics</t>
        </is>
      </c>
      <c r="M33" s="2" t="inlineStr">
        <is>
          <t>Search this site Embedded Files Skip to main content Skip to navigation Kunal Garg Home People Teaching Research Publications K...</t>
        </is>
      </c>
      <c r="N33" s="2" t="inlineStr"/>
      <c r="O33" s="2" t="inlineStr"/>
      <c r="P33" s="2" t="inlineStr">
        <is>
          <t>MAE 417: System Dynamics and Control II | MAE 593: Applied Project | MAE 598: Special Topics</t>
        </is>
      </c>
      <c r="Q33" s="2" t="inlineStr"/>
      <c r="R33"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S33" s="2" t="inlineStr"/>
      <c r="T33" s="2" t="inlineStr"/>
      <c r="U33" s="2" t="inlineStr">
        <is>
          <t>Distributed multi-agent motion planning and control, Provably safe control design using machine learning-based certificates, Foundation models in complex robotic tasks, Failure prediction from limited demonstrations, Human-robot interaction.</t>
        </is>
      </c>
      <c r="V33" s="2" t="inlineStr">
        <is>
          <t>Control Systems, Dynamical Systems, Machine Learning, Nonlinear Dynamical Systems, Robotics</t>
        </is>
      </c>
      <c r="W33" s="2" t="inlineStr">
        <is>
          <t>Garg's research interests include control synthesis for multi-agent coordination using control theory and machine learning.</t>
        </is>
      </c>
      <c r="X33" s="2" t="inlineStr">
        <is>
          <t>PhD. Aerospace Engineering, University of Michigan, Ann Arbor, 2021 MS. Aerospace Engineering, University of Michigan, Ann Arbor, 2019 BTech. Aerospace Engineering, Indian Institute of Technology, Bombay, 2016</t>
        </is>
      </c>
      <c r="Y33" s="2" t="inlineStr">
        <is>
          <t>Safe and Autonomous Robotics (STAR) Lab</t>
        </is>
      </c>
      <c r="Z33" s="3">
        <f>HYPERLINK("https://sites.google.com/asu.edu/kunalgarg/", "https://sites.google.com/asu.edu/kunalgarg/")</f>
        <v/>
      </c>
      <c r="AA33" s="2" t="inlineStr">
        <is>
          <t>Actively seeking graduate students (see lab link/instructions)</t>
        </is>
      </c>
      <c r="AB33" s="2" t="inlineStr">
        <is>
          <t>Python, PyTorch, ROS, ROS2, C/C++, Linear Algebra</t>
        </is>
      </c>
      <c r="AC33" s="2" t="inlineStr"/>
      <c r="AD33" s="2" t="inlineStr"/>
      <c r="AE33" s="2" t="inlineStr"/>
      <c r="AF33" s="2" t="inlineStr"/>
      <c r="AG33" s="2" t="inlineStr">
        <is>
          <t>551 E Tyler Mall ERC 475 (Tempe, AZ 85281)</t>
        </is>
      </c>
      <c r="AH33" s="2" t="b">
        <v>1</v>
      </c>
      <c r="AI33" s="3">
        <f>HYPERLINK("https://faculty.engineering.asu.edu/directory/semte/aerospace-and-mechanical-engineering/", "https://faculty.engineering.asu.edu/directory/semte/aerospace-and-mechanical-engineering/")</f>
        <v/>
      </c>
    </row>
    <row r="34">
      <c r="A34" s="2" t="inlineStr">
        <is>
          <t>Spring Berman</t>
        </is>
      </c>
      <c r="B34" s="2" t="inlineStr">
        <is>
          <t>Arizona State University</t>
        </is>
      </c>
      <c r="C34" s="3">
        <f>HYPERLINK("https://search.asu.edu/profile/smberma2", "https://search.asu.edu/profile/smberma2")</f>
        <v/>
      </c>
      <c r="D34" s="3">
        <f>HYPERLINK("https://scholar.google.com/citations?hl=en&amp;user=KKup0OgAAAAJ", "Scholar (KKup0OgAAAAJ)")</f>
        <v/>
      </c>
      <c r="E34" s="2" t="inlineStr">
        <is>
          <t>Professor</t>
        </is>
      </c>
      <c r="F34" s="2" t="inlineStr">
        <is>
          <t>Aerospace &amp; Mechanical Engineering</t>
        </is>
      </c>
      <c r="G34" s="2" t="inlineStr">
        <is>
          <t>KKup0OgAAAAJ</t>
        </is>
      </c>
      <c r="H34" s="3">
        <f>HYPERLINK("mailto:Spring.Berman@asu.edu", "Spring.Berman@asu.edu")</f>
        <v/>
      </c>
      <c r="I34" s="2" t="n">
        <v>4</v>
      </c>
      <c r="J34" s="2" t="inlineStr">
        <is>
          <t>🔴 Tier 4: Robotics / Controls / Autonomy</t>
        </is>
      </c>
      <c r="K34" s="2" t="n">
        <v>5</v>
      </c>
      <c r="L34" s="2" t="inlineStr">
        <is>
          <t>aerospace, autonomous, control theory, robot, robotics</t>
        </is>
      </c>
      <c r="M34" s="2" t="inlineStr"/>
      <c r="N34" s="2" t="inlineStr"/>
      <c r="O34" s="2" t="inlineStr"/>
      <c r="P34" s="2" t="inlineStr">
        <is>
          <t>MAE 318: System Dynamics and Control I | MAE 598: Special Topics | MAE 593: Applied Project</t>
        </is>
      </c>
      <c r="Q34" s="2" t="inlineStr"/>
      <c r="R34" s="2" t="inlineStr"/>
      <c r="S34" s="2" t="inlineStr"/>
      <c r="T34" s="2" t="inlineStr"/>
      <c r="U34" s="2" t="inlineStr">
        <is>
          <t>Modeling, analysis, control, and optimization of multi-robot systems including robotic swarms; analysis of collective behaviors in biology and biologically-inspired control of distributed systems</t>
        </is>
      </c>
      <c r="V34" s="2" t="inlineStr">
        <is>
          <t>Systems and Control Theory, Mechanical Engineering, Autonomous Technologies, Robotics</t>
        </is>
      </c>
      <c r="W34" s="2" t="inlineStr">
        <is>
          <t>Dr. Berman directs the Autonomous Collective Systems Laboratory at ASU, which models and analyzes behaviors in biological and engineered collectives and designs control strategies for multi-robot systems.</t>
        </is>
      </c>
      <c r="X34"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Y34" s="2" t="inlineStr">
        <is>
          <t>Autonomous Collective Systems (ACS) Laboratory</t>
        </is>
      </c>
      <c r="Z34" s="3">
        <f>HYPERLINK("http://faculty.engineering.asu.edu/acs/", "http://faculty.engineering.asu.edu/acs/")</f>
        <v/>
      </c>
      <c r="AA34" s="2" t="inlineStr"/>
      <c r="AB34" s="2" t="inlineStr"/>
      <c r="AC34" s="2" t="inlineStr"/>
      <c r="AD34" s="2" t="inlineStr"/>
      <c r="AE34" s="2" t="inlineStr"/>
      <c r="AF34" s="2" t="inlineStr"/>
      <c r="AG34" s="2" t="inlineStr">
        <is>
          <t>ENGRC 375 (Tempe, AZ 85287-6106)</t>
        </is>
      </c>
      <c r="AH34" s="2" t="b">
        <v>1</v>
      </c>
      <c r="AI34" s="3">
        <f>HYPERLINK("https://faculty.engineering.asu.edu/directory/semte/aerospace-and-mechanical-engineering/", "https://faculty.engineering.asu.edu/directory/semte/aerospace-and-mechanical-engineering/")</f>
        <v/>
      </c>
    </row>
    <row r="35">
      <c r="A35" s="2" t="inlineStr">
        <is>
          <t>Zhe Xu</t>
        </is>
      </c>
      <c r="B35" s="2" t="inlineStr">
        <is>
          <t>Arizona State University</t>
        </is>
      </c>
      <c r="C35" s="3">
        <f>HYPERLINK("https://search.asu.edu/profile/xzhe1", "https://search.asu.edu/profile/xzhe1")</f>
        <v/>
      </c>
      <c r="D35" s="3">
        <f>HYPERLINK("https://scholar.google.com/citations?view_op=search_authors&amp;mauthors=Zhe%20Xu%20Arizona%20State%20University", "Google Scholar Search")</f>
        <v/>
      </c>
      <c r="E35" s="2" t="inlineStr">
        <is>
          <t>Assistant Professor</t>
        </is>
      </c>
      <c r="F35" s="2" t="inlineStr">
        <is>
          <t>Aerospace &amp; Mechanical Engineering</t>
        </is>
      </c>
      <c r="G35" s="2" t="inlineStr"/>
      <c r="H35" s="3">
        <f>HYPERLINK("mailto:xzhe1@asu.edu", "xzhe1@asu.edu")</f>
        <v/>
      </c>
      <c r="I35" s="2" t="n">
        <v>4</v>
      </c>
      <c r="J35" s="2" t="inlineStr">
        <is>
          <t>🔴 Tier 4: Robotics / Controls / Autonomy</t>
        </is>
      </c>
      <c r="K35" s="2" t="n">
        <v>5</v>
      </c>
      <c r="L35" s="2" t="inlineStr">
        <is>
          <t>autonomous, control theory, energy systems, robot, robotics</t>
        </is>
      </c>
      <c r="M35" s="2" t="inlineStr">
        <is>
          <t>Search this site Embedded Files Skip to main content Skip to navigation Home Publications Research Teaching Group Members Outre...</t>
        </is>
      </c>
      <c r="N35" s="2" t="inlineStr"/>
      <c r="O35" s="2" t="inlineStr"/>
      <c r="P35" s="2" t="inlineStr">
        <is>
          <t>MAE 506: Adv Sys Model, Dynamic, Contrl | MAE 318: System Dynamics and Control I | MAE 593: Applied Project</t>
        </is>
      </c>
      <c r="Q35" s="2" t="inlineStr"/>
      <c r="R35" s="2" t="inlineStr"/>
      <c r="S35" s="2" t="inlineStr"/>
      <c r="T35" s="2" t="inlineStr"/>
      <c r="U35" s="2" t="inlineStr">
        <is>
          <t>The research interests include control theory, machine learning, formal methods and autonomous systems.</t>
        </is>
      </c>
      <c r="V35" s="2" t="inlineStr">
        <is>
          <t>Artificial Intelligence, Control Systems, Electric Power and Energy Systems, Machine Learning, Robotics, Systems and Control Theory</t>
        </is>
      </c>
      <c r="W35" s="2" t="inlineStr">
        <is>
          <t>My research interests include control theory, formal methods, and machine learning (including reinforcement learning), with applications on autonomous systems and cyber-physical systems.</t>
        </is>
      </c>
      <c r="X35"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Y35" s="2" t="inlineStr"/>
      <c r="Z35" s="3">
        <f>HYPERLINK("https://sites.google.com/site/zhexudavid00710/research?authuser=0", "https://sites.google.com/site/zhexudavid00710/research?authuser=0")</f>
        <v/>
      </c>
      <c r="AA35" s="2" t="inlineStr"/>
      <c r="AB35" s="2" t="inlineStr"/>
      <c r="AC35" s="2" t="inlineStr"/>
      <c r="AD35" s="2" t="inlineStr"/>
      <c r="AE35" s="2" t="inlineStr"/>
      <c r="AF35" s="2" t="inlineStr"/>
      <c r="AG35" s="2" t="inlineStr">
        <is>
          <t>Campus: Tempe</t>
        </is>
      </c>
      <c r="AH35" s="2" t="b">
        <v>1</v>
      </c>
      <c r="AI35" s="3">
        <f>HYPERLINK("https://faculty.engineering.asu.edu/directory/semte/aerospace-and-mechanical-engineering/", "https://faculty.engineering.asu.edu/directory/semte/aerospace-and-mechanical-engineering/")</f>
        <v/>
      </c>
    </row>
    <row r="36">
      <c r="A36" s="2" t="inlineStr">
        <is>
          <t>Matthew Peet</t>
        </is>
      </c>
      <c r="B36" s="2" t="inlineStr">
        <is>
          <t>Arizona State University</t>
        </is>
      </c>
      <c r="C36" s="3">
        <f>HYPERLINK("https://search.asu.edu/profile/mpeet", "https://search.asu.edu/profile/mpeet")</f>
        <v/>
      </c>
      <c r="D36" s="3">
        <f>HYPERLINK("https://scholar.google.com/citations?hl=en&amp;user=l7umOqMAAAAJ", "Scholar (l7umOqMAAAAJ)")</f>
        <v/>
      </c>
      <c r="E36" s="2" t="inlineStr">
        <is>
          <t>Associate Professor</t>
        </is>
      </c>
      <c r="F36" s="2" t="inlineStr">
        <is>
          <t>Aerospace &amp; Mechanical Engineering</t>
        </is>
      </c>
      <c r="G36" s="2" t="inlineStr">
        <is>
          <t>l7umOqMAAAAJ</t>
        </is>
      </c>
      <c r="H36" s="3">
        <f>HYPERLINK("mailto:mpeet@asu.edu", "mpeet@asu.edu")</f>
        <v/>
      </c>
      <c r="I36" s="2" t="n">
        <v>4</v>
      </c>
      <c r="J36" s="2" t="inlineStr">
        <is>
          <t>🔴 Tier 4: Robotics / Controls / Autonomy</t>
        </is>
      </c>
      <c r="K36" s="2" t="n">
        <v>4</v>
      </c>
      <c r="L36" s="2" t="inlineStr">
        <is>
          <t>aerospace, materials, spacecraft, system dynamics</t>
        </is>
      </c>
      <c r="M36" s="2" t="inlineStr"/>
      <c r="N36" s="2" t="inlineStr"/>
      <c r="O36" s="2" t="inlineStr"/>
      <c r="P36" s="2" t="inlineStr">
        <is>
          <t>MAE 593: Applied Project | MAE 318: System Dynamics and Control I | MAE 509: LMI Methods</t>
        </is>
      </c>
      <c r="Q36" s="2" t="inlineStr"/>
      <c r="R36" s="2" t="inlineStr"/>
      <c r="S36" s="2" t="inlineStr"/>
      <c r="T36" s="2" t="inlineStr"/>
      <c r="U36"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V36" s="2" t="inlineStr">
        <is>
          <t>Control Systems, Dynamical Systems Theory, Aerospace Engineering, Algorithm Development, Dynamical Systems, Nonlinear Dynamical Systems, Mathematical and System Dynamics Modeling, Immunology</t>
        </is>
      </c>
      <c r="W36" s="2" t="inlineStr">
        <is>
          <t>Peet's current research interests are in the role of computation as it is applied to the understanding and control of complex and large-scale systems.</t>
        </is>
      </c>
      <c r="X36" s="2" t="inlineStr">
        <is>
          <t>Ph.D. Aeronautics and Astronautics, Stanford University 2006 | Bachelor's degree. Physics, University of Texas-Austin 1999 | Bachelor's degree. Aerospace Engineering, University of Texas-Austin 1999</t>
        </is>
      </c>
      <c r="Y36" s="2" t="inlineStr">
        <is>
          <t>Cybernetic Systems and Controls Laboratory (CSCL)</t>
        </is>
      </c>
      <c r="Z36" s="3">
        <f>HYPERLINK("http://control.asu.edu/", "http://control.asu.edu/")</f>
        <v/>
      </c>
      <c r="AA36" s="2" t="inlineStr"/>
      <c r="AB36" s="2" t="inlineStr"/>
      <c r="AC36" s="2" t="inlineStr"/>
      <c r="AD36" s="2" t="inlineStr"/>
      <c r="AE36" s="2" t="inlineStr"/>
      <c r="AF36" s="2" t="inlineStr"/>
      <c r="AG36" s="2" t="inlineStr">
        <is>
          <t>ENGRC 253 (Tempe, AZ 85287-6106)</t>
        </is>
      </c>
      <c r="AH36" s="2" t="b">
        <v>1</v>
      </c>
      <c r="AI36" s="3">
        <f>HYPERLINK("https://faculty.engineering.asu.edu/directory/semte/aerospace-and-mechanical-engineering/", "https://faculty.engineering.asu.edu/directory/semte/aerospace-and-mechanical-engineering/")</f>
        <v/>
      </c>
    </row>
    <row r="37">
      <c r="A37" s="2" t="inlineStr">
        <is>
          <t>Hamidreza Marvi</t>
        </is>
      </c>
      <c r="B37" s="2" t="inlineStr">
        <is>
          <t>Arizona State University</t>
        </is>
      </c>
      <c r="C37" s="3">
        <f>HYPERLINK("https://search.asu.edu/profile/hmarvi", "https://search.asu.edu/profile/hmarvi")</f>
        <v/>
      </c>
      <c r="D37" s="3">
        <f>HYPERLINK("https://scholar.google.com/citations?hl=en&amp;user=00Fepb0AAAAJ", "Scholar (00Fepb0AAAAJ)")</f>
        <v/>
      </c>
      <c r="E37" s="2" t="inlineStr">
        <is>
          <t>Associate Professor</t>
        </is>
      </c>
      <c r="F37" s="2" t="inlineStr">
        <is>
          <t>Aerospace &amp; Mechanical Engineering</t>
        </is>
      </c>
      <c r="G37" s="2" t="inlineStr">
        <is>
          <t>00Fepb0AAAAJ</t>
        </is>
      </c>
      <c r="H37" s="3">
        <f>HYPERLINK("mailto:hmarvi@asu.edu", "hmarvi@asu.edu")</f>
        <v/>
      </c>
      <c r="I37" s="2" t="n">
        <v>4</v>
      </c>
      <c r="J37" s="2" t="inlineStr">
        <is>
          <t>🔴 Tier 4: Robotics / Controls / Autonomy</t>
        </is>
      </c>
      <c r="K37" s="2" t="n">
        <v>3</v>
      </c>
      <c r="L37" s="2" t="inlineStr">
        <is>
          <t>aerospace, robot, robotics</t>
        </is>
      </c>
      <c r="M37" s="2" t="inlineStr">
        <is>
          <t>Our mission at BIRTH lab is to give “birth” to new technologies inspired by nature. Specifically, we study animal bio-mechanics...</t>
        </is>
      </c>
      <c r="N37" s="2" t="inlineStr"/>
      <c r="O37" s="2" t="inlineStr"/>
      <c r="P37" s="2" t="inlineStr">
        <is>
          <t>MAE 417: System Dynamics and Control II | MAE 598: Special Topics | MAE 547: Modeling and Control of Robots</t>
        </is>
      </c>
      <c r="Q37" s="2" t="inlineStr">
        <is>
          <t>KEEN Professorship, The Kern Family Foundation, 2017. | Peebles Award for Graduate Student Research in Adhesion Science, Adhesion Society, 2015.</t>
        </is>
      </c>
      <c r="R37" s="2" t="inlineStr"/>
      <c r="S37" s="2" t="inlineStr"/>
      <c r="T37" s="2" t="inlineStr"/>
      <c r="U37" s="2" t="inlineStr">
        <is>
          <t>Bio-inspired robotics Soft robotics Magnetic micro-robotics Mechanics of animal locomotion</t>
        </is>
      </c>
      <c r="V37" s="2" t="inlineStr"/>
      <c r="W37" s="2" t="inlineStr">
        <is>
          <t>Marvi would like to develop bio-inspired robotic systems and programmable interfacial structures for search and rescue, exploratory and medical applications.</t>
        </is>
      </c>
      <c r="X37"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Y37" s="2" t="inlineStr">
        <is>
          <t>Bio-Inspired Robotics, Technology, and Healthcare Laboratory (BIRTH Lab)</t>
        </is>
      </c>
      <c r="Z37" s="3">
        <f>HYPERLINK("http://birth.asu.edu", "http://birth.asu.edu")</f>
        <v/>
      </c>
      <c r="AA37" s="2" t="inlineStr"/>
      <c r="AB37" s="2" t="inlineStr"/>
      <c r="AC37" s="2" t="inlineStr"/>
      <c r="AD37" s="2" t="inlineStr"/>
      <c r="AE37" s="2" t="inlineStr"/>
      <c r="AF37" s="2" t="inlineStr">
        <is>
          <t>Latest News</t>
        </is>
      </c>
      <c r="AG37" s="2" t="inlineStr">
        <is>
          <t>Campus: Tempe</t>
        </is>
      </c>
      <c r="AH37" s="2" t="b">
        <v>1</v>
      </c>
      <c r="AI37" s="3">
        <f>HYPERLINK("https://faculty.engineering.asu.edu/directory/semte/aerospace-and-mechanical-engineering/", "https://faculty.engineering.asu.edu/directory/semte/aerospace-and-mechanical-engineering/")</f>
        <v/>
      </c>
    </row>
    <row r="38">
      <c r="A38" s="2" t="inlineStr">
        <is>
          <t>Hyunglae Lee</t>
        </is>
      </c>
      <c r="B38" s="2" t="inlineStr">
        <is>
          <t>Arizona State University</t>
        </is>
      </c>
      <c r="C38" s="3">
        <f>HYPERLINK("https://search.asu.edu/profile/hlee234", "https://search.asu.edu/profile/hlee234")</f>
        <v/>
      </c>
      <c r="D38" s="3">
        <f>HYPERLINK("https://scholar.google.com/citations?view_op=search_authors&amp;mauthors=Hyunglae%20Lee%20Arizona%20State%20University", "Google Scholar Search")</f>
        <v/>
      </c>
      <c r="E38" s="2" t="inlineStr">
        <is>
          <t>Associate Professor</t>
        </is>
      </c>
      <c r="F38" s="2" t="inlineStr">
        <is>
          <t>Aerospace &amp; Mechanical Engineering</t>
        </is>
      </c>
      <c r="G38" s="2" t="inlineStr"/>
      <c r="H38" s="3">
        <f>HYPERLINK("mailto:Hyunglae.Lee@asu.edu", "Hyunglae.Lee@asu.edu")</f>
        <v/>
      </c>
      <c r="I38" s="2" t="n">
        <v>4</v>
      </c>
      <c r="J38" s="2" t="inlineStr">
        <is>
          <t>🔴 Tier 4: Robotics / Controls / Autonomy</t>
        </is>
      </c>
      <c r="K38" s="2" t="n">
        <v>3</v>
      </c>
      <c r="L38" s="2" t="inlineStr">
        <is>
          <t>aerospace, robot, robotics</t>
        </is>
      </c>
      <c r="M38" s="2" t="inlineStr"/>
      <c r="N38" s="2" t="inlineStr"/>
      <c r="O38" s="2" t="inlineStr"/>
      <c r="P38" s="2" t="inlineStr">
        <is>
          <t>MAE 598: Special Topics | MAE 417: System Dynamics and Control II | MAE 593: Applied Project</t>
        </is>
      </c>
      <c r="Q38" s="2" t="inlineStr"/>
      <c r="R38" s="2" t="inlineStr"/>
      <c r="S38" s="2" t="inlineStr"/>
      <c r="T38" s="2" t="inlineStr"/>
      <c r="U38" s="2" t="inlineStr"/>
      <c r="V38" s="2" t="inlineStr"/>
      <c r="W38" s="2" t="inlineStr">
        <is>
          <t>Lee's research interests include physical human-robot interaction, neuromuscular control of human movement, robot-aided neurorehabilitation, bio-inspired robotics and system identification for physiological systems.</t>
        </is>
      </c>
      <c r="X38" s="2" t="inlineStr">
        <is>
          <t>B.S. Mechanical and Aerospace Engineering, Seoul National University (2002) M.S. Mechanical and Aerospace Engineering, Seoul National University (2004) Ph.D Mechanical Engineering, Massachusetts Institute of Technology (2013)</t>
        </is>
      </c>
      <c r="Y38" s="2" t="inlineStr"/>
      <c r="Z38" s="3">
        <f>HYPERLINK("https://faculty.engineering.asu.edu/hlee", "https://faculty.engineering.asu.edu/hlee")</f>
        <v/>
      </c>
      <c r="AA38" s="2" t="inlineStr"/>
      <c r="AB38" s="2" t="inlineStr"/>
      <c r="AC38" s="2" t="inlineStr"/>
      <c r="AD38" s="2" t="inlineStr"/>
      <c r="AE38" s="2" t="inlineStr"/>
      <c r="AF38" s="2" t="inlineStr"/>
      <c r="AG38" s="2" t="inlineStr">
        <is>
          <t>Campus: Tempe</t>
        </is>
      </c>
      <c r="AH38" s="2" t="b">
        <v>1</v>
      </c>
      <c r="AI38" s="3">
        <f>HYPERLINK("https://faculty.engineering.asu.edu/directory/semte/aerospace-and-mechanical-engineering/", "https://faculty.engineering.asu.edu/directory/semte/aerospace-and-mechanical-engineering/")</f>
        <v/>
      </c>
    </row>
    <row r="39">
      <c r="A39" s="2" t="inlineStr">
        <is>
          <t>Huei-Ping Huang</t>
        </is>
      </c>
      <c r="B39" s="2" t="inlineStr">
        <is>
          <t>Arizona State University</t>
        </is>
      </c>
      <c r="C39" s="3">
        <f>HYPERLINK("https://search.asu.edu/profile/hhuang38", "https://search.asu.edu/profile/hhuang38")</f>
        <v/>
      </c>
      <c r="D39" s="3">
        <f>HYPERLINK("https://scholar.google.com/citations?view_op=search_authors&amp;mauthors=Huei-Ping%20Huang%20Arizona%20State%20University", "Google Scholar Search")</f>
        <v/>
      </c>
      <c r="E39" s="2" t="inlineStr">
        <is>
          <t>Associate Professor</t>
        </is>
      </c>
      <c r="F39" s="2" t="inlineStr">
        <is>
          <t>Aerospace &amp; Mechanical Engineering</t>
        </is>
      </c>
      <c r="G39" s="2" t="inlineStr"/>
      <c r="H39" s="3">
        <f>HYPERLINK("mailto:Huei-Ping.Huang@asu.edu", "Huei-Ping.Huang@asu.edu")</f>
        <v/>
      </c>
      <c r="I39" s="2" t="n">
        <v>4</v>
      </c>
      <c r="J39" s="2" t="inlineStr">
        <is>
          <t>🔴 Tier 4: Robotics / Controls / Autonomy</t>
        </is>
      </c>
      <c r="K39" s="2" t="n">
        <v>2</v>
      </c>
      <c r="L39" s="2" t="inlineStr">
        <is>
          <t>aerospace, fluid dynamics</t>
        </is>
      </c>
      <c r="M39" s="2" t="inlineStr"/>
      <c r="N39" s="2" t="inlineStr"/>
      <c r="O39" s="2" t="inlineStr"/>
      <c r="P39" s="2" t="inlineStr">
        <is>
          <t>MAE 502: Partial Diff Equations Engr | MAE 460: Applied Comput Fluid Dynamics | MAE 593: Applied Project</t>
        </is>
      </c>
      <c r="Q39" s="2" t="inlineStr"/>
      <c r="R39" s="2" t="inlineStr"/>
      <c r="S39" s="2" t="inlineStr"/>
      <c r="T39" s="2" t="inlineStr"/>
      <c r="U39" s="2" t="inlineStr"/>
      <c r="V39" s="2" t="inlineStr"/>
      <c r="W39" s="2" t="inlineStr">
        <is>
          <t>Huang's research interests are geophysical and environmental fluid dynamics, numerical simulation of atmospheric and oceanic flows, Earth system remote sensing, and climate change.</t>
        </is>
      </c>
      <c r="X39" s="2" t="inlineStr">
        <is>
          <t>Ph.D. University of Illinois-Urbana-Champaign 1997 | M.S. National Taiwan University 1989 | B.S. National Central University,Taiwan 1987</t>
        </is>
      </c>
      <c r="Y39" s="2" t="inlineStr"/>
      <c r="Z39" s="3">
        <f>HYPERLINK("http://www.public.asu.edu/~hhuang38", "http://www.public.asu.edu/~hhuang38")</f>
        <v/>
      </c>
      <c r="AA39" s="2" t="inlineStr"/>
      <c r="AB39" s="2" t="inlineStr"/>
      <c r="AC39" s="2" t="inlineStr"/>
      <c r="AD39" s="2" t="inlineStr"/>
      <c r="AE39" s="2" t="inlineStr"/>
      <c r="AF39" s="2" t="inlineStr">
        <is>
          <t>Log in to www_public</t>
        </is>
      </c>
      <c r="AG39" s="2" t="inlineStr">
        <is>
          <t>ENGRC 359 (Tempe, AZ 85287-6106)</t>
        </is>
      </c>
      <c r="AH39" s="2" t="b">
        <v>1</v>
      </c>
      <c r="AI39" s="3">
        <f>HYPERLINK("https://faculty.engineering.asu.edu/directory/semte/aerospace-and-mechanical-engineering/", "https://faculty.engineering.asu.edu/directory/semte/aerospace-and-mechanical-engineering/")</f>
        <v/>
      </c>
    </row>
    <row r="40">
      <c r="A40" s="2" t="inlineStr">
        <is>
          <t>Wanxin Jin</t>
        </is>
      </c>
      <c r="B40" s="2" t="inlineStr">
        <is>
          <t>Arizona State University</t>
        </is>
      </c>
      <c r="C40" s="3">
        <f>HYPERLINK("https://search.asu.edu/profile/wjin34", "https://search.asu.edu/profile/wjin34")</f>
        <v/>
      </c>
      <c r="D40" s="3">
        <f>HYPERLINK("https://scholar.google.com/citations?hl=en&amp;user=SoEC4h4AAAAJ", "Scholar (SoEC4h4AAAAJ)")</f>
        <v/>
      </c>
      <c r="E40" s="2" t="inlineStr">
        <is>
          <t>Assistant Professor</t>
        </is>
      </c>
      <c r="F40" s="2" t="inlineStr">
        <is>
          <t>Aerospace &amp; Mechanical Engineering</t>
        </is>
      </c>
      <c r="G40" s="2" t="inlineStr">
        <is>
          <t>SoEC4h4AAAAJ</t>
        </is>
      </c>
      <c r="H40" s="3">
        <f>HYPERLINK("mailto:wjin@asu.edu", "wjin@asu.edu")</f>
        <v/>
      </c>
      <c r="I40" s="2" t="n">
        <v>4</v>
      </c>
      <c r="J40" s="2" t="inlineStr">
        <is>
          <t>🔴 Tier 4: Robotics / Controls / Autonomy</t>
        </is>
      </c>
      <c r="K40" s="2" t="n">
        <v>2</v>
      </c>
      <c r="L40" s="2" t="inlineStr">
        <is>
          <t>robot, robotics</t>
        </is>
      </c>
      <c r="M40" s="2" t="inlineStr">
        <is>
          <t>Below are selected papers that represent our main research threads. Please visit Publications for the full list. Contact-rich i...</t>
        </is>
      </c>
      <c r="N40" s="2" t="inlineStr"/>
      <c r="O40" s="2" t="inlineStr"/>
      <c r="P40" s="2" t="inlineStr">
        <is>
          <t>MAE 301: Applied Experimental Statistic | MAE 593: Applied Project | MAE 547: Modeling and Control of Robots</t>
        </is>
      </c>
      <c r="Q40" s="2" t="inlineStr"/>
      <c r="R40"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S40" s="2" t="inlineStr"/>
      <c r="T40" s="2" t="inlineStr"/>
      <c r="U40" s="2" t="inlineStr">
        <is>
          <t>https://irislab.tech/</t>
        </is>
      </c>
      <c r="V40" s="2" t="inlineStr"/>
      <c r="W40" s="2" t="inlineStr">
        <is>
          <t>Jin's research includes robotics, control and machine learning, with a focus on the autonomy of robots interacting with humans and objects.</t>
        </is>
      </c>
      <c r="X40" s="2" t="inlineStr">
        <is>
          <t>Ph.D., Purdue University 2021 | Master of Science, Harbin Institute of Technology, 2016 | Bachelor of Engineering, Harbin Institute of Technology, 2014</t>
        </is>
      </c>
      <c r="Y40" s="2" t="inlineStr">
        <is>
          <t>Intelligent Robotics and Interactive Systems Lab (IRIS Lab)</t>
        </is>
      </c>
      <c r="Z40" s="3">
        <f>HYPERLINK("https://irislab.tech/", "https://irislab.tech/")</f>
        <v/>
      </c>
      <c r="AA40"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AB40" s="2" t="inlineStr"/>
      <c r="AC40" s="2" t="inlineStr"/>
      <c r="AD40" s="2" t="inlineStr">
        <is>
          <t>NSF</t>
        </is>
      </c>
      <c r="AE40" s="3">
        <f>HYPERLINK("https://github.com/asu-iris", "https://github.com/asu-iris")</f>
        <v/>
      </c>
      <c r="AF40" s="2" t="inlineStr">
        <is>
          <t>Recent Updates</t>
        </is>
      </c>
      <c r="AG40" s="2" t="inlineStr">
        <is>
          <t>Campus: Tempe</t>
        </is>
      </c>
      <c r="AH40" s="2" t="b">
        <v>1</v>
      </c>
      <c r="AI40" s="3">
        <f>HYPERLINK("https://faculty.engineering.asu.edu/directory/semte/aerospace-and-mechanical-engineering/", "https://faculty.engineering.asu.edu/directory/semte/aerospace-and-mechanical-engineering/")</f>
        <v/>
      </c>
    </row>
    <row r="41">
      <c r="A41" s="2" t="inlineStr">
        <is>
          <t>James Middleton</t>
        </is>
      </c>
      <c r="B41" s="2" t="inlineStr">
        <is>
          <t>Arizona State University</t>
        </is>
      </c>
      <c r="C41" s="3">
        <f>HYPERLINK("https://search.asu.edu/profile/jimbo", "https://search.asu.edu/profile/jimbo")</f>
        <v/>
      </c>
      <c r="D41" s="3">
        <f>HYPERLINK("https://scholar.google.com/citations?view_op=search_authors&amp;mauthors=James%20Middleton%20Arizona%20State%20University", "Google Scholar Search")</f>
        <v/>
      </c>
      <c r="E41" s="2" t="inlineStr">
        <is>
          <t>Professor</t>
        </is>
      </c>
      <c r="F41" s="2" t="inlineStr">
        <is>
          <t>Aerospace &amp; Mechanical Engineering</t>
        </is>
      </c>
      <c r="G41" s="2" t="inlineStr"/>
      <c r="H41" s="3">
        <f>HYPERLINK("mailto:jimbo@asu.edu", "jimbo@asu.edu")</f>
        <v/>
      </c>
      <c r="I41" s="2" t="n">
        <v>4</v>
      </c>
      <c r="J41" s="2" t="inlineStr">
        <is>
          <t>🔴 Tier 4: Robotics / Controls / Autonomy</t>
        </is>
      </c>
      <c r="K41" s="2" t="n">
        <v>1</v>
      </c>
      <c r="L41" s="2" t="inlineStr">
        <is>
          <t>aerospace</t>
        </is>
      </c>
      <c r="M41" s="2" t="inlineStr">
        <is>
          <t>Journal Articles Middleton, J. A. (in press). Archimedes, Euler, &amp; Nursing Cats: Rethinking the Arithmetic Mean. OnCore,</t>
        </is>
      </c>
      <c r="N41" s="2" t="inlineStr"/>
      <c r="O41" s="2" t="inlineStr"/>
      <c r="P41" s="2" t="inlineStr">
        <is>
          <t>MAE 484: Internship | MAE 301: Applied Experimental Statistic | MAE 394: Special Topics</t>
        </is>
      </c>
      <c r="Q41" s="2" t="inlineStr"/>
      <c r="R41" s="2" t="inlineStr"/>
      <c r="S41" s="2" t="inlineStr"/>
      <c r="T41" s="2" t="inlineStr"/>
      <c r="U41" s="2" t="inlineStr">
        <is>
          <t>Student learning of mathematical concepts. Motivation and mathematics learning. Teacher change. Applications of technology to mathematics teaching and learning.</t>
        </is>
      </c>
      <c r="V41" s="2" t="inlineStr"/>
      <c r="W41" s="2" t="inlineStr">
        <is>
          <t>Middleton’s research interests focus in the following areas where he has published extensively: children’s mathematical thinking; teacher and student motivation in mathematics; and teacher change in mathematics.</t>
        </is>
      </c>
      <c r="X41" s="2" t="inlineStr">
        <is>
          <t>Ph.D. Educational Psychology, University of Wisconsin-Madison 1992</t>
        </is>
      </c>
      <c r="Y41" s="2" t="inlineStr"/>
      <c r="Z41" s="2" t="inlineStr"/>
      <c r="AA41" s="2" t="inlineStr"/>
      <c r="AB41" s="2" t="inlineStr"/>
      <c r="AC41" s="2" t="inlineStr"/>
      <c r="AD41" s="2" t="inlineStr"/>
      <c r="AE41" s="2" t="inlineStr"/>
      <c r="AF41" s="2" t="inlineStr"/>
      <c r="AG41" s="2" t="inlineStr">
        <is>
          <t>ENGRC 381 (TEMPE, AZ 85287-6106)</t>
        </is>
      </c>
      <c r="AH41" s="2" t="b">
        <v>1</v>
      </c>
      <c r="AI41" s="3">
        <f>HYPERLINK("https://faculty.engineering.asu.edu/directory/semte/aerospace-and-mechanical-engineering/", "https://faculty.engineering.asu.edu/directory/semte/aerospace-and-mechanical-engineering/")</f>
        <v/>
      </c>
    </row>
    <row r="42">
      <c r="A42" s="2" t="inlineStr">
        <is>
          <t>Marc Mignolet</t>
        </is>
      </c>
      <c r="B42" s="2" t="inlineStr">
        <is>
          <t>Arizona State University</t>
        </is>
      </c>
      <c r="C42" s="3">
        <f>HYPERLINK("https://search.asu.edu/profile/marc03", "https://search.asu.edu/profile/marc03")</f>
        <v/>
      </c>
      <c r="D42" s="3">
        <f>HYPERLINK("https://scholar.google.com/citations?view_op=search_authors&amp;mauthors=Marc%20Mignolet%20Arizona%20State%20University", "Google Scholar Search")</f>
        <v/>
      </c>
      <c r="E42" s="2" t="inlineStr">
        <is>
          <t>Professor</t>
        </is>
      </c>
      <c r="F42" s="2" t="inlineStr">
        <is>
          <t>Aerospace &amp; Mechanical Engineering</t>
        </is>
      </c>
      <c r="G42" s="2" t="inlineStr"/>
      <c r="H42" s="3">
        <f>HYPERLINK("mailto:marc.mignolet@asu.edu", "marc.mignolet@asu.edu")</f>
        <v/>
      </c>
      <c r="I42" s="2" t="n">
        <v>4</v>
      </c>
      <c r="J42" s="2" t="inlineStr">
        <is>
          <t>🔴 Tier 4: Robotics / Controls / Autonomy</t>
        </is>
      </c>
      <c r="K42" s="2" t="n">
        <v>1</v>
      </c>
      <c r="L42" s="2" t="inlineStr">
        <is>
          <t>aerospace</t>
        </is>
      </c>
      <c r="M42" s="2" t="inlineStr"/>
      <c r="N42" s="2" t="inlineStr"/>
      <c r="O42" s="2" t="inlineStr"/>
      <c r="P42" s="2" t="inlineStr">
        <is>
          <t>MAE 510: Dynamics and Vibrations | MAE 591: Seminar | MAE 394: Special Topics</t>
        </is>
      </c>
      <c r="Q42" s="2" t="inlineStr"/>
      <c r="R42" s="2" t="inlineStr"/>
      <c r="S42" s="2" t="inlineStr"/>
      <c r="T42" s="2" t="inlineStr"/>
      <c r="U42" s="2" t="inlineStr"/>
      <c r="V42" s="2" t="inlineStr"/>
      <c r="W42" s="2" t="inlineStr">
        <is>
          <t>Mignolet's research interests include structural dynamics, vibrations, modeling of uncertainty in structures and stochastic multiscale analyses.</t>
        </is>
      </c>
      <c r="X42" s="2" t="inlineStr">
        <is>
          <t>Ph.D. Rice University 1987</t>
        </is>
      </c>
      <c r="Y42" s="2" t="inlineStr"/>
      <c r="Z42" s="2" t="inlineStr"/>
      <c r="AA42" s="2" t="inlineStr"/>
      <c r="AB42" s="2" t="inlineStr"/>
      <c r="AC42" s="2" t="inlineStr"/>
      <c r="AD42" s="2" t="inlineStr"/>
      <c r="AE42" s="2" t="inlineStr"/>
      <c r="AF42" s="2" t="inlineStr"/>
      <c r="AG42" s="2" t="inlineStr">
        <is>
          <t>ENGRC 411 (TEMPE, AZ 85287-6106)</t>
        </is>
      </c>
      <c r="AH42" s="2" t="b">
        <v>1</v>
      </c>
      <c r="AI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4</v>
      </c>
      <c r="J43" s="2" t="inlineStr">
        <is>
          <t>🔴 Tier 4: Robotics / Controls / Autonomy</t>
        </is>
      </c>
      <c r="K43" s="2" t="n">
        <v>1</v>
      </c>
      <c r="L43" s="2" t="inlineStr">
        <is>
          <t>aerospace</t>
        </is>
      </c>
      <c r="M43" s="2" t="inlineStr"/>
      <c r="N43" s="2" t="inlineStr"/>
      <c r="O43" s="2" t="inlineStr"/>
      <c r="P43" s="2" t="inlineStr">
        <is>
          <t>MAE 494: Special Topics | MAE 598: Special Topics | MAE 301: Applied Experimental Statistic</t>
        </is>
      </c>
      <c r="Q43" s="2" t="inlineStr"/>
      <c r="R43" s="2" t="inlineStr"/>
      <c r="S43" s="2" t="inlineStr"/>
      <c r="T43" s="2" t="inlineStr"/>
      <c r="U43" s="2" t="inlineStr"/>
      <c r="V43" s="2" t="inlineStr"/>
      <c r="W43" s="2" t="inlineStr">
        <is>
          <t>Ren’s current research interests include optimization, product/configuration design, human-computer interaction and machine learning.</t>
        </is>
      </c>
      <c r="X43" s="2" t="inlineStr">
        <is>
          <t>Ph.D. Mechanical Engineering, University of Michigan 2011 | M.S. Mechanical Engineering, University of Michigan 2009 | B.S. Automative Engineering, Tsinghua University, China 2007</t>
        </is>
      </c>
      <c r="Y43" s="2" t="inlineStr"/>
      <c r="Z43" s="2" t="inlineStr"/>
      <c r="AA43" s="2" t="inlineStr"/>
      <c r="AB43" s="2" t="inlineStr"/>
      <c r="AC43" s="2" t="inlineStr"/>
      <c r="AD43" s="2" t="inlineStr"/>
      <c r="AE43" s="2" t="inlineStr"/>
      <c r="AF43" s="2" t="inlineStr"/>
      <c r="AG43" s="2" t="inlineStr">
        <is>
          <t>GWC 464 (Tempe, AZ 85287-6106)</t>
        </is>
      </c>
      <c r="AH43" s="2" t="b">
        <v>1</v>
      </c>
      <c r="AI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Z2" r:id="rId4"/>
    <hyperlink xmlns:r="http://schemas.openxmlformats.org/officeDocument/2006/relationships" ref="AE2" r:id="rId5"/>
    <hyperlink xmlns:r="http://schemas.openxmlformats.org/officeDocument/2006/relationships" ref="AI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AI3" r:id="rId10"/>
    <hyperlink xmlns:r="http://schemas.openxmlformats.org/officeDocument/2006/relationships" ref="C4" r:id="rId11"/>
    <hyperlink xmlns:r="http://schemas.openxmlformats.org/officeDocument/2006/relationships" ref="D4" r:id="rId12"/>
    <hyperlink xmlns:r="http://schemas.openxmlformats.org/officeDocument/2006/relationships" ref="H4" r:id="rId13"/>
    <hyperlink xmlns:r="http://schemas.openxmlformats.org/officeDocument/2006/relationships" ref="AI4" r:id="rId14"/>
    <hyperlink xmlns:r="http://schemas.openxmlformats.org/officeDocument/2006/relationships" ref="C5" r:id="rId15"/>
    <hyperlink xmlns:r="http://schemas.openxmlformats.org/officeDocument/2006/relationships" ref="D5" r:id="rId16"/>
    <hyperlink xmlns:r="http://schemas.openxmlformats.org/officeDocument/2006/relationships" ref="H5" r:id="rId17"/>
    <hyperlink xmlns:r="http://schemas.openxmlformats.org/officeDocument/2006/relationships" ref="Z5" r:id="rId18"/>
    <hyperlink xmlns:r="http://schemas.openxmlformats.org/officeDocument/2006/relationships" ref="AI5" r:id="rId19"/>
    <hyperlink xmlns:r="http://schemas.openxmlformats.org/officeDocument/2006/relationships" ref="C6" r:id="rId20"/>
    <hyperlink xmlns:r="http://schemas.openxmlformats.org/officeDocument/2006/relationships" ref="D6" r:id="rId21"/>
    <hyperlink xmlns:r="http://schemas.openxmlformats.org/officeDocument/2006/relationships" ref="H6" r:id="rId22"/>
    <hyperlink xmlns:r="http://schemas.openxmlformats.org/officeDocument/2006/relationships" ref="Z6" r:id="rId23"/>
    <hyperlink xmlns:r="http://schemas.openxmlformats.org/officeDocument/2006/relationships" ref="AI6" r:id="rId24"/>
    <hyperlink xmlns:r="http://schemas.openxmlformats.org/officeDocument/2006/relationships" ref="C7" r:id="rId25"/>
    <hyperlink xmlns:r="http://schemas.openxmlformats.org/officeDocument/2006/relationships" ref="D7" r:id="rId26"/>
    <hyperlink xmlns:r="http://schemas.openxmlformats.org/officeDocument/2006/relationships" ref="H7" r:id="rId27"/>
    <hyperlink xmlns:r="http://schemas.openxmlformats.org/officeDocument/2006/relationships" ref="AI7" r:id="rId28"/>
    <hyperlink xmlns:r="http://schemas.openxmlformats.org/officeDocument/2006/relationships" ref="C8" r:id="rId29"/>
    <hyperlink xmlns:r="http://schemas.openxmlformats.org/officeDocument/2006/relationships" ref="D8" r:id="rId30"/>
    <hyperlink xmlns:r="http://schemas.openxmlformats.org/officeDocument/2006/relationships" ref="H8" r:id="rId31"/>
    <hyperlink xmlns:r="http://schemas.openxmlformats.org/officeDocument/2006/relationships" ref="AI8" r:id="rId32"/>
    <hyperlink xmlns:r="http://schemas.openxmlformats.org/officeDocument/2006/relationships" ref="C9" r:id="rId33"/>
    <hyperlink xmlns:r="http://schemas.openxmlformats.org/officeDocument/2006/relationships" ref="D9" r:id="rId34"/>
    <hyperlink xmlns:r="http://schemas.openxmlformats.org/officeDocument/2006/relationships" ref="H9" r:id="rId35"/>
    <hyperlink xmlns:r="http://schemas.openxmlformats.org/officeDocument/2006/relationships" ref="Z9" r:id="rId36"/>
    <hyperlink xmlns:r="http://schemas.openxmlformats.org/officeDocument/2006/relationships" ref="AI9" r:id="rId37"/>
    <hyperlink xmlns:r="http://schemas.openxmlformats.org/officeDocument/2006/relationships" ref="C10" r:id="rId38"/>
    <hyperlink xmlns:r="http://schemas.openxmlformats.org/officeDocument/2006/relationships" ref="D10" r:id="rId39"/>
    <hyperlink xmlns:r="http://schemas.openxmlformats.org/officeDocument/2006/relationships" ref="H10" r:id="rId40"/>
    <hyperlink xmlns:r="http://schemas.openxmlformats.org/officeDocument/2006/relationships" ref="AI10" r:id="rId41"/>
    <hyperlink xmlns:r="http://schemas.openxmlformats.org/officeDocument/2006/relationships" ref="C11" r:id="rId42"/>
    <hyperlink xmlns:r="http://schemas.openxmlformats.org/officeDocument/2006/relationships" ref="D11" r:id="rId43"/>
    <hyperlink xmlns:r="http://schemas.openxmlformats.org/officeDocument/2006/relationships" ref="H11" r:id="rId44"/>
    <hyperlink xmlns:r="http://schemas.openxmlformats.org/officeDocument/2006/relationships" ref="Z11" r:id="rId45"/>
    <hyperlink xmlns:r="http://schemas.openxmlformats.org/officeDocument/2006/relationships" ref="AI11" r:id="rId46"/>
    <hyperlink xmlns:r="http://schemas.openxmlformats.org/officeDocument/2006/relationships" ref="C12" r:id="rId47"/>
    <hyperlink xmlns:r="http://schemas.openxmlformats.org/officeDocument/2006/relationships" ref="D12" r:id="rId48"/>
    <hyperlink xmlns:r="http://schemas.openxmlformats.org/officeDocument/2006/relationships" ref="H12" r:id="rId49"/>
    <hyperlink xmlns:r="http://schemas.openxmlformats.org/officeDocument/2006/relationships" ref="Z12" r:id="rId50"/>
    <hyperlink xmlns:r="http://schemas.openxmlformats.org/officeDocument/2006/relationships" ref="AI12" r:id="rId51"/>
    <hyperlink xmlns:r="http://schemas.openxmlformats.org/officeDocument/2006/relationships" ref="C13" r:id="rId52"/>
    <hyperlink xmlns:r="http://schemas.openxmlformats.org/officeDocument/2006/relationships" ref="D13" r:id="rId53"/>
    <hyperlink xmlns:r="http://schemas.openxmlformats.org/officeDocument/2006/relationships" ref="H13" r:id="rId54"/>
    <hyperlink xmlns:r="http://schemas.openxmlformats.org/officeDocument/2006/relationships" ref="Z13" r:id="rId55"/>
    <hyperlink xmlns:r="http://schemas.openxmlformats.org/officeDocument/2006/relationships" ref="AI13" r:id="rId56"/>
    <hyperlink xmlns:r="http://schemas.openxmlformats.org/officeDocument/2006/relationships" ref="C14" r:id="rId57"/>
    <hyperlink xmlns:r="http://schemas.openxmlformats.org/officeDocument/2006/relationships" ref="D14" r:id="rId58"/>
    <hyperlink xmlns:r="http://schemas.openxmlformats.org/officeDocument/2006/relationships" ref="H14" r:id="rId59"/>
    <hyperlink xmlns:r="http://schemas.openxmlformats.org/officeDocument/2006/relationships" ref="Z14" r:id="rId60"/>
    <hyperlink xmlns:r="http://schemas.openxmlformats.org/officeDocument/2006/relationships" ref="AI14" r:id="rId61"/>
    <hyperlink xmlns:r="http://schemas.openxmlformats.org/officeDocument/2006/relationships" ref="C15" r:id="rId62"/>
    <hyperlink xmlns:r="http://schemas.openxmlformats.org/officeDocument/2006/relationships" ref="D15" r:id="rId63"/>
    <hyperlink xmlns:r="http://schemas.openxmlformats.org/officeDocument/2006/relationships" ref="H15" r:id="rId64"/>
    <hyperlink xmlns:r="http://schemas.openxmlformats.org/officeDocument/2006/relationships" ref="AI15" r:id="rId65"/>
    <hyperlink xmlns:r="http://schemas.openxmlformats.org/officeDocument/2006/relationships" ref="C16" r:id="rId66"/>
    <hyperlink xmlns:r="http://schemas.openxmlformats.org/officeDocument/2006/relationships" ref="D16" r:id="rId67"/>
    <hyperlink xmlns:r="http://schemas.openxmlformats.org/officeDocument/2006/relationships" ref="H16" r:id="rId68"/>
    <hyperlink xmlns:r="http://schemas.openxmlformats.org/officeDocument/2006/relationships" ref="AI16" r:id="rId69"/>
    <hyperlink xmlns:r="http://schemas.openxmlformats.org/officeDocument/2006/relationships" ref="C17" r:id="rId70"/>
    <hyperlink xmlns:r="http://schemas.openxmlformats.org/officeDocument/2006/relationships" ref="D17" r:id="rId71"/>
    <hyperlink xmlns:r="http://schemas.openxmlformats.org/officeDocument/2006/relationships" ref="H17" r:id="rId72"/>
    <hyperlink xmlns:r="http://schemas.openxmlformats.org/officeDocument/2006/relationships" ref="Z17" r:id="rId73"/>
    <hyperlink xmlns:r="http://schemas.openxmlformats.org/officeDocument/2006/relationships" ref="AI17" r:id="rId74"/>
    <hyperlink xmlns:r="http://schemas.openxmlformats.org/officeDocument/2006/relationships" ref="C18" r:id="rId75"/>
    <hyperlink xmlns:r="http://schemas.openxmlformats.org/officeDocument/2006/relationships" ref="D18" r:id="rId76"/>
    <hyperlink xmlns:r="http://schemas.openxmlformats.org/officeDocument/2006/relationships" ref="H18" r:id="rId77"/>
    <hyperlink xmlns:r="http://schemas.openxmlformats.org/officeDocument/2006/relationships" ref="AI18" r:id="rId78"/>
    <hyperlink xmlns:r="http://schemas.openxmlformats.org/officeDocument/2006/relationships" ref="C19" r:id="rId79"/>
    <hyperlink xmlns:r="http://schemas.openxmlformats.org/officeDocument/2006/relationships" ref="D19" r:id="rId80"/>
    <hyperlink xmlns:r="http://schemas.openxmlformats.org/officeDocument/2006/relationships" ref="H19" r:id="rId81"/>
    <hyperlink xmlns:r="http://schemas.openxmlformats.org/officeDocument/2006/relationships" ref="Z19" r:id="rId82"/>
    <hyperlink xmlns:r="http://schemas.openxmlformats.org/officeDocument/2006/relationships" ref="AI19" r:id="rId83"/>
    <hyperlink xmlns:r="http://schemas.openxmlformats.org/officeDocument/2006/relationships" ref="C20" r:id="rId84"/>
    <hyperlink xmlns:r="http://schemas.openxmlformats.org/officeDocument/2006/relationships" ref="D20" r:id="rId85"/>
    <hyperlink xmlns:r="http://schemas.openxmlformats.org/officeDocument/2006/relationships" ref="H20" r:id="rId86"/>
    <hyperlink xmlns:r="http://schemas.openxmlformats.org/officeDocument/2006/relationships" ref="Z20" r:id="rId87"/>
    <hyperlink xmlns:r="http://schemas.openxmlformats.org/officeDocument/2006/relationships" ref="AI20" r:id="rId88"/>
    <hyperlink xmlns:r="http://schemas.openxmlformats.org/officeDocument/2006/relationships" ref="C21" r:id="rId89"/>
    <hyperlink xmlns:r="http://schemas.openxmlformats.org/officeDocument/2006/relationships" ref="D21" r:id="rId90"/>
    <hyperlink xmlns:r="http://schemas.openxmlformats.org/officeDocument/2006/relationships" ref="H21" r:id="rId91"/>
    <hyperlink xmlns:r="http://schemas.openxmlformats.org/officeDocument/2006/relationships" ref="AI21" r:id="rId92"/>
    <hyperlink xmlns:r="http://schemas.openxmlformats.org/officeDocument/2006/relationships" ref="C22" r:id="rId93"/>
    <hyperlink xmlns:r="http://schemas.openxmlformats.org/officeDocument/2006/relationships" ref="D22" r:id="rId94"/>
    <hyperlink xmlns:r="http://schemas.openxmlformats.org/officeDocument/2006/relationships" ref="H22" r:id="rId95"/>
    <hyperlink xmlns:r="http://schemas.openxmlformats.org/officeDocument/2006/relationships" ref="Z22" r:id="rId96"/>
    <hyperlink xmlns:r="http://schemas.openxmlformats.org/officeDocument/2006/relationships" ref="AI22" r:id="rId97"/>
    <hyperlink xmlns:r="http://schemas.openxmlformats.org/officeDocument/2006/relationships" ref="C23" r:id="rId98"/>
    <hyperlink xmlns:r="http://schemas.openxmlformats.org/officeDocument/2006/relationships" ref="D23" r:id="rId99"/>
    <hyperlink xmlns:r="http://schemas.openxmlformats.org/officeDocument/2006/relationships" ref="H23" r:id="rId100"/>
    <hyperlink xmlns:r="http://schemas.openxmlformats.org/officeDocument/2006/relationships" ref="AI23" r:id="rId101"/>
    <hyperlink xmlns:r="http://schemas.openxmlformats.org/officeDocument/2006/relationships" ref="C24" r:id="rId102"/>
    <hyperlink xmlns:r="http://schemas.openxmlformats.org/officeDocument/2006/relationships" ref="D24" r:id="rId103"/>
    <hyperlink xmlns:r="http://schemas.openxmlformats.org/officeDocument/2006/relationships" ref="H24" r:id="rId104"/>
    <hyperlink xmlns:r="http://schemas.openxmlformats.org/officeDocument/2006/relationships" ref="Z24" r:id="rId105"/>
    <hyperlink xmlns:r="http://schemas.openxmlformats.org/officeDocument/2006/relationships" ref="AI24" r:id="rId106"/>
    <hyperlink xmlns:r="http://schemas.openxmlformats.org/officeDocument/2006/relationships" ref="C25" r:id="rId107"/>
    <hyperlink xmlns:r="http://schemas.openxmlformats.org/officeDocument/2006/relationships" ref="D25" r:id="rId108"/>
    <hyperlink xmlns:r="http://schemas.openxmlformats.org/officeDocument/2006/relationships" ref="H25" r:id="rId109"/>
    <hyperlink xmlns:r="http://schemas.openxmlformats.org/officeDocument/2006/relationships" ref="AI25" r:id="rId110"/>
    <hyperlink xmlns:r="http://schemas.openxmlformats.org/officeDocument/2006/relationships" ref="C26" r:id="rId111"/>
    <hyperlink xmlns:r="http://schemas.openxmlformats.org/officeDocument/2006/relationships" ref="D26" r:id="rId112"/>
    <hyperlink xmlns:r="http://schemas.openxmlformats.org/officeDocument/2006/relationships" ref="H26" r:id="rId113"/>
    <hyperlink xmlns:r="http://schemas.openxmlformats.org/officeDocument/2006/relationships" ref="Z26" r:id="rId114"/>
    <hyperlink xmlns:r="http://schemas.openxmlformats.org/officeDocument/2006/relationships" ref="AI26" r:id="rId115"/>
    <hyperlink xmlns:r="http://schemas.openxmlformats.org/officeDocument/2006/relationships" ref="C27" r:id="rId116"/>
    <hyperlink xmlns:r="http://schemas.openxmlformats.org/officeDocument/2006/relationships" ref="D27" r:id="rId117"/>
    <hyperlink xmlns:r="http://schemas.openxmlformats.org/officeDocument/2006/relationships" ref="H27" r:id="rId118"/>
    <hyperlink xmlns:r="http://schemas.openxmlformats.org/officeDocument/2006/relationships" ref="AI27" r:id="rId119"/>
    <hyperlink xmlns:r="http://schemas.openxmlformats.org/officeDocument/2006/relationships" ref="C28" r:id="rId120"/>
    <hyperlink xmlns:r="http://schemas.openxmlformats.org/officeDocument/2006/relationships" ref="D28" r:id="rId121"/>
    <hyperlink xmlns:r="http://schemas.openxmlformats.org/officeDocument/2006/relationships" ref="H28" r:id="rId122"/>
    <hyperlink xmlns:r="http://schemas.openxmlformats.org/officeDocument/2006/relationships" ref="Z28" r:id="rId123"/>
    <hyperlink xmlns:r="http://schemas.openxmlformats.org/officeDocument/2006/relationships" ref="AI28" r:id="rId124"/>
    <hyperlink xmlns:r="http://schemas.openxmlformats.org/officeDocument/2006/relationships" ref="C29" r:id="rId125"/>
    <hyperlink xmlns:r="http://schemas.openxmlformats.org/officeDocument/2006/relationships" ref="D29" r:id="rId126"/>
    <hyperlink xmlns:r="http://schemas.openxmlformats.org/officeDocument/2006/relationships" ref="H29" r:id="rId127"/>
    <hyperlink xmlns:r="http://schemas.openxmlformats.org/officeDocument/2006/relationships" ref="AI29" r:id="rId128"/>
    <hyperlink xmlns:r="http://schemas.openxmlformats.org/officeDocument/2006/relationships" ref="C30" r:id="rId129"/>
    <hyperlink xmlns:r="http://schemas.openxmlformats.org/officeDocument/2006/relationships" ref="D30" r:id="rId130"/>
    <hyperlink xmlns:r="http://schemas.openxmlformats.org/officeDocument/2006/relationships" ref="H30" r:id="rId131"/>
    <hyperlink xmlns:r="http://schemas.openxmlformats.org/officeDocument/2006/relationships" ref="Z30" r:id="rId132"/>
    <hyperlink xmlns:r="http://schemas.openxmlformats.org/officeDocument/2006/relationships" ref="AI30" r:id="rId133"/>
    <hyperlink xmlns:r="http://schemas.openxmlformats.org/officeDocument/2006/relationships" ref="C31" r:id="rId134"/>
    <hyperlink xmlns:r="http://schemas.openxmlformats.org/officeDocument/2006/relationships" ref="D31" r:id="rId135"/>
    <hyperlink xmlns:r="http://schemas.openxmlformats.org/officeDocument/2006/relationships" ref="H31" r:id="rId136"/>
    <hyperlink xmlns:r="http://schemas.openxmlformats.org/officeDocument/2006/relationships" ref="Z31" r:id="rId137"/>
    <hyperlink xmlns:r="http://schemas.openxmlformats.org/officeDocument/2006/relationships" ref="AI31" r:id="rId138"/>
    <hyperlink xmlns:r="http://schemas.openxmlformats.org/officeDocument/2006/relationships" ref="C32" r:id="rId139"/>
    <hyperlink xmlns:r="http://schemas.openxmlformats.org/officeDocument/2006/relationships" ref="D32" r:id="rId140"/>
    <hyperlink xmlns:r="http://schemas.openxmlformats.org/officeDocument/2006/relationships" ref="H32" r:id="rId141"/>
    <hyperlink xmlns:r="http://schemas.openxmlformats.org/officeDocument/2006/relationships" ref="Z32" r:id="rId142"/>
    <hyperlink xmlns:r="http://schemas.openxmlformats.org/officeDocument/2006/relationships" ref="AI32" r:id="rId143"/>
    <hyperlink xmlns:r="http://schemas.openxmlformats.org/officeDocument/2006/relationships" ref="C33" r:id="rId144"/>
    <hyperlink xmlns:r="http://schemas.openxmlformats.org/officeDocument/2006/relationships" ref="D33" r:id="rId145"/>
    <hyperlink xmlns:r="http://schemas.openxmlformats.org/officeDocument/2006/relationships" ref="H33" r:id="rId146"/>
    <hyperlink xmlns:r="http://schemas.openxmlformats.org/officeDocument/2006/relationships" ref="Z33" r:id="rId147"/>
    <hyperlink xmlns:r="http://schemas.openxmlformats.org/officeDocument/2006/relationships" ref="AI33" r:id="rId148"/>
    <hyperlink xmlns:r="http://schemas.openxmlformats.org/officeDocument/2006/relationships" ref="C34" r:id="rId149"/>
    <hyperlink xmlns:r="http://schemas.openxmlformats.org/officeDocument/2006/relationships" ref="D34" r:id="rId150"/>
    <hyperlink xmlns:r="http://schemas.openxmlformats.org/officeDocument/2006/relationships" ref="H34" r:id="rId151"/>
    <hyperlink xmlns:r="http://schemas.openxmlformats.org/officeDocument/2006/relationships" ref="Z34" r:id="rId152"/>
    <hyperlink xmlns:r="http://schemas.openxmlformats.org/officeDocument/2006/relationships" ref="AI34" r:id="rId153"/>
    <hyperlink xmlns:r="http://schemas.openxmlformats.org/officeDocument/2006/relationships" ref="C35" r:id="rId154"/>
    <hyperlink xmlns:r="http://schemas.openxmlformats.org/officeDocument/2006/relationships" ref="D35" r:id="rId155"/>
    <hyperlink xmlns:r="http://schemas.openxmlformats.org/officeDocument/2006/relationships" ref="H35" r:id="rId156"/>
    <hyperlink xmlns:r="http://schemas.openxmlformats.org/officeDocument/2006/relationships" ref="Z35" r:id="rId157"/>
    <hyperlink xmlns:r="http://schemas.openxmlformats.org/officeDocument/2006/relationships" ref="AI35" r:id="rId158"/>
    <hyperlink xmlns:r="http://schemas.openxmlformats.org/officeDocument/2006/relationships" ref="C36" r:id="rId159"/>
    <hyperlink xmlns:r="http://schemas.openxmlformats.org/officeDocument/2006/relationships" ref="D36" r:id="rId160"/>
    <hyperlink xmlns:r="http://schemas.openxmlformats.org/officeDocument/2006/relationships" ref="H36" r:id="rId161"/>
    <hyperlink xmlns:r="http://schemas.openxmlformats.org/officeDocument/2006/relationships" ref="Z36" r:id="rId162"/>
    <hyperlink xmlns:r="http://schemas.openxmlformats.org/officeDocument/2006/relationships" ref="AI36" r:id="rId163"/>
    <hyperlink xmlns:r="http://schemas.openxmlformats.org/officeDocument/2006/relationships" ref="C37" r:id="rId164"/>
    <hyperlink xmlns:r="http://schemas.openxmlformats.org/officeDocument/2006/relationships" ref="D37" r:id="rId165"/>
    <hyperlink xmlns:r="http://schemas.openxmlformats.org/officeDocument/2006/relationships" ref="H37" r:id="rId166"/>
    <hyperlink xmlns:r="http://schemas.openxmlformats.org/officeDocument/2006/relationships" ref="Z37" r:id="rId167"/>
    <hyperlink xmlns:r="http://schemas.openxmlformats.org/officeDocument/2006/relationships" ref="AI37" r:id="rId168"/>
    <hyperlink xmlns:r="http://schemas.openxmlformats.org/officeDocument/2006/relationships" ref="C38" r:id="rId169"/>
    <hyperlink xmlns:r="http://schemas.openxmlformats.org/officeDocument/2006/relationships" ref="D38" r:id="rId170"/>
    <hyperlink xmlns:r="http://schemas.openxmlformats.org/officeDocument/2006/relationships" ref="H38" r:id="rId171"/>
    <hyperlink xmlns:r="http://schemas.openxmlformats.org/officeDocument/2006/relationships" ref="Z38" r:id="rId172"/>
    <hyperlink xmlns:r="http://schemas.openxmlformats.org/officeDocument/2006/relationships" ref="AI38" r:id="rId173"/>
    <hyperlink xmlns:r="http://schemas.openxmlformats.org/officeDocument/2006/relationships" ref="C39" r:id="rId174"/>
    <hyperlink xmlns:r="http://schemas.openxmlformats.org/officeDocument/2006/relationships" ref="D39" r:id="rId175"/>
    <hyperlink xmlns:r="http://schemas.openxmlformats.org/officeDocument/2006/relationships" ref="H39" r:id="rId176"/>
    <hyperlink xmlns:r="http://schemas.openxmlformats.org/officeDocument/2006/relationships" ref="Z39" r:id="rId177"/>
    <hyperlink xmlns:r="http://schemas.openxmlformats.org/officeDocument/2006/relationships" ref="AI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Z40" r:id="rId182"/>
    <hyperlink xmlns:r="http://schemas.openxmlformats.org/officeDocument/2006/relationships" ref="AE40" r:id="rId183"/>
    <hyperlink xmlns:r="http://schemas.openxmlformats.org/officeDocument/2006/relationships" ref="AI40" r:id="rId184"/>
    <hyperlink xmlns:r="http://schemas.openxmlformats.org/officeDocument/2006/relationships" ref="C41" r:id="rId185"/>
    <hyperlink xmlns:r="http://schemas.openxmlformats.org/officeDocument/2006/relationships" ref="D41" r:id="rId186"/>
    <hyperlink xmlns:r="http://schemas.openxmlformats.org/officeDocument/2006/relationships" ref="H41" r:id="rId187"/>
    <hyperlink xmlns:r="http://schemas.openxmlformats.org/officeDocument/2006/relationships" ref="AI41" r:id="rId188"/>
    <hyperlink xmlns:r="http://schemas.openxmlformats.org/officeDocument/2006/relationships" ref="C42" r:id="rId189"/>
    <hyperlink xmlns:r="http://schemas.openxmlformats.org/officeDocument/2006/relationships" ref="D42" r:id="rId190"/>
    <hyperlink xmlns:r="http://schemas.openxmlformats.org/officeDocument/2006/relationships" ref="H42" r:id="rId191"/>
    <hyperlink xmlns:r="http://schemas.openxmlformats.org/officeDocument/2006/relationships" ref="AI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I43" r:id="rId19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49"/>
  <sheetViews>
    <sheetView showGridLines="1" workbookViewId="0">
      <selection activeCell="A1" sqref="A1"/>
    </sheetView>
  </sheetViews>
  <sheetFormatPr baseColWidth="8" defaultRowHeight="15"/>
  <cols>
    <col width="34" customWidth="1" min="1" max="1"/>
    <col width="28" customWidth="1" min="2" max="2"/>
    <col width="49" customWidth="1" min="3" max="3"/>
    <col width="32" customWidth="1" min="4" max="4"/>
    <col width="32" customWidth="1" min="5" max="5"/>
    <col width="38" customWidth="1" min="6" max="6"/>
    <col width="16" customWidth="1" min="7" max="7"/>
    <col width="49" customWidth="1" min="8" max="8"/>
    <col width="17" customWidth="1" min="9" max="9"/>
    <col width="52" customWidth="1" min="10" max="10"/>
    <col width="17"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49" customWidth="1" min="26" max="26"/>
    <col width="65" customWidth="1" min="27" max="27"/>
    <col width="53" customWidth="1" min="28" max="28"/>
    <col width="30" customWidth="1" min="29" max="29"/>
    <col width="20" customWidth="1" min="30" max="30"/>
    <col width="49" customWidth="1" min="31" max="31"/>
    <col width="61" customWidth="1" min="32" max="32"/>
    <col width="65" customWidth="1" min="33" max="33"/>
    <col width="18" customWidth="1" min="34" max="34"/>
    <col width="49" customWidth="1" min="35" max="35"/>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Latest Paper / Publication</t>
        </is>
      </c>
      <c r="N1" s="1" t="inlineStr">
        <is>
          <t>Recent Papers (2024-2026)</t>
        </is>
      </c>
      <c r="O1" s="1" t="inlineStr">
        <is>
          <t>Top Cited Papers</t>
        </is>
      </c>
      <c r="P1" s="1" t="inlineStr">
        <is>
          <t>Courses Taught</t>
        </is>
      </c>
      <c r="Q1" s="1" t="inlineStr">
        <is>
          <t>Recent Awards / Honors</t>
        </is>
      </c>
      <c r="R1" s="1" t="inlineStr">
        <is>
          <t>Cold Email / Application Instructions</t>
        </is>
      </c>
      <c r="S1" s="1" t="inlineStr">
        <is>
          <t>OpenAlex Research Topics</t>
        </is>
      </c>
      <c r="T1" s="1" t="inlineStr">
        <is>
          <t>Google Scholar Tags</t>
        </is>
      </c>
      <c r="U1" s="1" t="inlineStr">
        <is>
          <t>Research Interests</t>
        </is>
      </c>
      <c r="V1" s="1" t="inlineStr">
        <is>
          <t>Expertise Areas</t>
        </is>
      </c>
      <c r="W1" s="1" t="inlineStr">
        <is>
          <t>Research / Bio Summary</t>
        </is>
      </c>
      <c r="X1" s="1" t="inlineStr">
        <is>
          <t>Education / Degrees</t>
        </is>
      </c>
      <c r="Y1" s="1" t="inlineStr">
        <is>
          <t>Lab / Research Group Name</t>
        </is>
      </c>
      <c r="Z1" s="1" t="inlineStr">
        <is>
          <t>Lab / Personal Website</t>
        </is>
      </c>
      <c r="AA1" s="1" t="inlineStr">
        <is>
          <t>Actively Hiring / Openings</t>
        </is>
      </c>
      <c r="AB1" s="1" t="inlineStr">
        <is>
          <t>Target Skills / Prerequisites</t>
        </is>
      </c>
      <c r="AC1" s="1" t="inlineStr">
        <is>
          <t>Lab Facilities &amp; Equipment</t>
        </is>
      </c>
      <c r="AD1" s="1" t="inlineStr">
        <is>
          <t>Funding Sponsors</t>
        </is>
      </c>
      <c r="AE1" s="1" t="inlineStr">
        <is>
          <t>Software / Code Repo</t>
        </is>
      </c>
      <c r="AF1" s="1" t="inlineStr">
        <is>
          <t>Latest Project / Highlight</t>
        </is>
      </c>
      <c r="AG1" s="1" t="inlineStr">
        <is>
          <t>Office Location</t>
        </is>
      </c>
      <c r="AH1" s="1" t="inlineStr">
        <is>
          <t>Is Field Match</t>
        </is>
      </c>
      <c r="AI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Refereed Journal Papers M. H. Kasbaoui and M. Herrmann, A high-fidelity methodology for particle-resolved direct numerical simu...</t>
        </is>
      </c>
      <c r="N2" s="2" t="inlineStr"/>
      <c r="O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P2" s="2" t="inlineStr">
        <is>
          <t>MAE 242: Intro to Fluid Mechanics | MAE 574: Multiphase Flow | MAE 501: Linear Algebra in Engineering</t>
        </is>
      </c>
      <c r="Q2" s="2" t="inlineStr"/>
      <c r="R2" s="2" t="inlineStr"/>
      <c r="S2" s="2" t="inlineStr">
        <is>
          <t>Particle Dynamics in Fluid Flows (22) | Fluid Dynamics and Turbulent Flows (19) | Granular flow and fluidized beds (14)</t>
        </is>
      </c>
      <c r="T2" s="2" t="inlineStr">
        <is>
          <t>Particle Dynamics in Fluid Flows (22) | Fluid Dynamics and Turbulent Flows (19) | Granular flow and fluidized beds (14)</t>
        </is>
      </c>
      <c r="U2" s="2" t="inlineStr"/>
      <c r="V2" s="2" t="inlineStr"/>
      <c r="W2" s="2" t="inlineStr">
        <is>
          <t>Kasbaoui's research interests include computational fluid dynamics, numerical methods, and massively parallel simulations of multiphase and particle-laden flows for environmental and aerospace applications.</t>
        </is>
      </c>
      <c r="X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Y2" s="2" t="inlineStr">
        <is>
          <t>Multiphase Flow and Fluid-Structure Interaction Group</t>
        </is>
      </c>
      <c r="Z2" s="3">
        <f>HYPERLINK("https://kasbaoui.bitbucket.io", "https://kasbaoui.bitbucket.io")</f>
        <v/>
      </c>
      <c r="AA2" s="2" t="inlineStr"/>
      <c r="AB2" s="2" t="inlineStr">
        <is>
          <t>CFD</t>
        </is>
      </c>
      <c r="AC2" s="2" t="inlineStr"/>
      <c r="AD2" s="2" t="inlineStr">
        <is>
          <t>AFOSR</t>
        </is>
      </c>
      <c r="AE2" s="3">
        <f>HYPERLINK("https://bitbucket.org/krgasu/leap/downloads/leap-v0.8.2.tar.gz", "https://bitbucket.org/krgasu/leap/downloads/leap-v0.8.2.tar.gz, https://bitbucket.org/krgasu/leap/src/master")</f>
        <v/>
      </c>
      <c r="AF2" s="2" t="inlineStr">
        <is>
          <t>School for Engineering of Matter, Transport &amp; Energy</t>
        </is>
      </c>
      <c r="AG2" s="2" t="inlineStr">
        <is>
          <t>Campus: Tempe</t>
        </is>
      </c>
      <c r="AH2" s="2" t="b">
        <v>1</v>
      </c>
      <c r="AI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c r="N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O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P3" s="2" t="inlineStr">
        <is>
          <t>MAE 242: Intro to Fluid Mechanics | MAE 384: Adv Math Methods for Engineers | MAE 501: Linear Algebra in Engineering</t>
        </is>
      </c>
      <c r="Q3" s="2" t="inlineStr"/>
      <c r="R3" s="2" t="inlineStr"/>
      <c r="S3" s="2" t="inlineStr">
        <is>
          <t>Fluid Dynamics and Thin Films (12) | Rheology and Fluid Dynamics Studies (11) | Hydraulic Fracturing and Reservoir Analysis (7)</t>
        </is>
      </c>
      <c r="T3" s="2" t="inlineStr">
        <is>
          <t>Fluid Dynamics and Thin Films (12) | Rheology and Fluid Dynamics Studies (11) | Hydraulic Fracturing and Reservoir Analysis (7)</t>
        </is>
      </c>
      <c r="U3" s="2" t="inlineStr"/>
      <c r="V3" s="2" t="inlineStr"/>
      <c r="W3" s="2" t="inlineStr">
        <is>
          <t>Chen’s research interests include multiphase flows, drag reduction, airplane de-icing, interfacial instabilities and flow in porous media.</t>
        </is>
      </c>
      <c r="X3" s="2" t="inlineStr">
        <is>
          <t>Ph.D. Fluid Mechanics, University of Minnesota 1990 | B.S. Mechanics, Peking University, China 1982</t>
        </is>
      </c>
      <c r="Y3" s="2" t="inlineStr"/>
      <c r="Z3" s="2" t="inlineStr"/>
      <c r="AA3" s="2" t="inlineStr"/>
      <c r="AB3" s="2" t="inlineStr"/>
      <c r="AC3" s="2" t="inlineStr"/>
      <c r="AD3" s="2" t="inlineStr"/>
      <c r="AE3" s="2" t="inlineStr"/>
      <c r="AF3" s="2" t="inlineStr"/>
      <c r="AG3" s="2" t="inlineStr">
        <is>
          <t>ENGRC 361 (TEMPE, AZ 85287-6106)</t>
        </is>
      </c>
      <c r="AH3" s="2" t="b">
        <v>1</v>
      </c>
      <c r="AI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c r="N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O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P4" s="2" t="inlineStr">
        <is>
          <t>MAE 242: Intro to Fluid Mechanics | MAE 593: Applied Project | MAE 564: Advanced Aerodynamics</t>
        </is>
      </c>
      <c r="Q4" s="2" t="inlineStr"/>
      <c r="R4" s="2" t="inlineStr"/>
      <c r="S4" s="2" t="inlineStr">
        <is>
          <t>Fluid Dynamics and Turbulent Flows (36) | Fluid Dynamics and Vibration Analysis (26) | Biomimetic flight and propulsion mechanisms (24)</t>
        </is>
      </c>
      <c r="T4" s="2" t="inlineStr">
        <is>
          <t>Fluid Dynamics and Turbulent Flows (36) | Fluid Dynamics and Vibration Analysis (26) | Biomimetic flight and propulsion mechanisms (24)</t>
        </is>
      </c>
      <c r="U4" s="2" t="inlineStr">
        <is>
          <t>Unsteady aerodynamics, vortex dynamics, flow control, turbulence, separated flows</t>
        </is>
      </c>
      <c r="V4" s="2" t="inlineStr"/>
      <c r="W4" s="2" t="inlineStr">
        <is>
          <t>Ramesh's expertise is in unsteady fluid dynamics, vortex dynamics, turbulence and flow control.</t>
        </is>
      </c>
      <c r="X4" s="2" t="inlineStr">
        <is>
          <t>PhD North Carolina State University</t>
        </is>
      </c>
      <c r="Y4" s="2" t="inlineStr"/>
      <c r="Z4" s="2" t="inlineStr"/>
      <c r="AA4" s="2" t="inlineStr"/>
      <c r="AB4" s="2" t="inlineStr"/>
      <c r="AC4" s="2" t="inlineStr"/>
      <c r="AD4" s="2" t="inlineStr"/>
      <c r="AE4" s="2" t="inlineStr"/>
      <c r="AF4" s="2" t="inlineStr"/>
      <c r="AG4" s="2" t="inlineStr">
        <is>
          <t>Engineering research centre Room 383 551 E Tyler mall (Tempe, AZ 85281)</t>
        </is>
      </c>
      <c r="AH4" s="2" t="b">
        <v>1</v>
      </c>
      <c r="AI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Search this site Embedded Files Skip to main content Skip to navigation OASIS group at ASU Home Research People Publications Ne...</t>
        </is>
      </c>
      <c r="N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O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P5" s="2" t="inlineStr">
        <is>
          <t>MAE 499: Individualized Instruction | MAE 202: Mech.Particles/Rigid Bodies II | MAE 318: System Dynamics and Control I</t>
        </is>
      </c>
      <c r="Q5" s="2" t="inlineStr"/>
      <c r="R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S5" s="2" t="inlineStr">
        <is>
          <t>Fluid Dynamics and Vibration Analysis (12) | Vibration and Dynamic Analysis (9) | Wind and Air Flow Studies (7)</t>
        </is>
      </c>
      <c r="T5" s="2" t="inlineStr">
        <is>
          <t>Fluid Dynamics and Vibration Analysis (12) | Vibration and Dynamic Analysis (9) | Wind and Air Flow Studies (7)</t>
        </is>
      </c>
      <c r="U5" s="2" t="inlineStr">
        <is>
          <t>Aerodynamics, Dynamical Systems, Machine Learning, Mechanics of Composite Materials</t>
        </is>
      </c>
      <c r="V5" s="2" t="inlineStr">
        <is>
          <t>Aerodynamics, Dynamical Systems, Machine Learning, Mechanics of Composite Materials</t>
        </is>
      </c>
      <c r="W5" s="2" t="inlineStr">
        <is>
          <t>Leixin Ma's career goal is a data-driven and physically consistent approach to modeling and designing programmable smart structures and robots, especially under complex fluid flow conditions.</t>
        </is>
      </c>
      <c r="X5" s="2" t="inlineStr">
        <is>
          <t>Ph.D. in Mechanical Engineering, Massachusetts Institute of Technology, 2021 S.M. in Mechanical Engineering, Massachusetts Institute of Technology, 2017 B.S.E. in Naval Architecture and Ocean Engineering, Shanghai Jiao Tong University, 2015</t>
        </is>
      </c>
      <c r="Y5" s="2" t="inlineStr">
        <is>
          <t>Optimization, Autonomy, and Soft Intelligence Systems (OASIS) Lab</t>
        </is>
      </c>
      <c r="Z5" s="3">
        <f>HYPERLINK("https://sites.google.com/view/oasislabasu", "https://sites.google.com/view/oasislabasu")</f>
        <v/>
      </c>
      <c r="AA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B5" s="2" t="inlineStr"/>
      <c r="AC5" s="2" t="inlineStr">
        <is>
          <t>Towing Tank, FDM</t>
        </is>
      </c>
      <c r="AD5" s="2" t="inlineStr"/>
      <c r="AE5" s="2" t="inlineStr"/>
      <c r="AF5" s="2" t="inlineStr">
        <is>
          <t>Ocean and Soft Intelligent Structure Interaction Lab</t>
        </is>
      </c>
      <c r="AG5" s="2" t="inlineStr">
        <is>
          <t>ERC 485 (Tempe, AZ 85287)</t>
        </is>
      </c>
      <c r="AH5" s="2" t="b">
        <v>1</v>
      </c>
      <c r="AI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There is an open post-doctoral opening starting Fall 2025 in experimental turbulence research . All students interested in join...</t>
        </is>
      </c>
      <c r="N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O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P6" s="2" t="inlineStr">
        <is>
          <t>MAE 575: Turbulence | MAE 593: Applied Project | MAE 499: Individualized Instruction</t>
        </is>
      </c>
      <c r="Q6" s="2" t="inlineStr"/>
      <c r="R6" s="2" t="inlineStr"/>
      <c r="S6" s="2" t="inlineStr">
        <is>
          <t>Fluid Dynamics and Turbulent Flows (40) | Particle Dynamics in Fluid Flows (23) | Laser-Plasma Interactions and Diagnostics (12)</t>
        </is>
      </c>
      <c r="T6" s="2" t="inlineStr">
        <is>
          <t>Fluid Dynamics and Turbulent Flows (40) | Particle Dynamics in Fluid Flows (23) | Laser-Plasma Interactions and Diagnostics (12)</t>
        </is>
      </c>
      <c r="U6" s="2" t="inlineStr">
        <is>
          <t>Aerodynamics, Aerospace Engineering, Mechanical Engineering</t>
        </is>
      </c>
      <c r="V6" s="2" t="inlineStr">
        <is>
          <t>Aerodynamics, Aerospace Engineering, Mechanical Engineering</t>
        </is>
      </c>
      <c r="W6" s="2" t="inlineStr">
        <is>
          <t>Dr. Pathikonda studies turbulent fluid flows to understand natural and engineering phenomena using lab experiments. His expertise is in complex (reacting) mixing, high Re-flows, laser-based &amp; spectroscopic techniques, etc.</t>
        </is>
      </c>
      <c r="X6" s="2" t="inlineStr">
        <is>
          <t>Ph. D. Theoretical and Applied Mechanics, University of Illinois, Urbana Champaign, 2017 | MS Aerospace Engineering, University of Illinois, Urbana Champaign, 2013 | B. Tech. Mechanical Engineering, National Institute of Technology, Warangal, 2009</t>
        </is>
      </c>
      <c r="Y6" s="2" t="inlineStr"/>
      <c r="Z6" s="3">
        <f>HYPERLINK("https://faculty.engineering.asu.edu/cmat/", "https://faculty.engineering.asu.edu/cmat/")</f>
        <v/>
      </c>
      <c r="AA6" s="2" t="inlineStr"/>
      <c r="AB6" s="2" t="inlineStr"/>
      <c r="AC6" s="2" t="inlineStr"/>
      <c r="AD6" s="2" t="inlineStr"/>
      <c r="AE6" s="2" t="inlineStr"/>
      <c r="AF6" s="2" t="inlineStr">
        <is>
          <t>Want to be part of CMAT Lab?</t>
        </is>
      </c>
      <c r="AG6" s="2" t="inlineStr">
        <is>
          <t>551 E Tyler Mall ERC 479 (Tempe, AZ 85281)</t>
        </is>
      </c>
      <c r="AH6" s="2" t="b">
        <v>1</v>
      </c>
      <c r="AI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c r="N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O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P7" s="2" t="inlineStr">
        <is>
          <t>MAE 384: Adv Math Methods for Engineers | MAE 484: Internship | MAE 561: Computational Fluid Dynamics</t>
        </is>
      </c>
      <c r="Q7" s="2" t="inlineStr"/>
      <c r="R7" s="2" t="inlineStr"/>
      <c r="S7" s="2" t="inlineStr">
        <is>
          <t>Fluid Dynamics and Heat Transfer (66) | Fluid Dynamics and Turbulent Flows (27) | Particle Dynamics in Fluid Flows (27)</t>
        </is>
      </c>
      <c r="T7" s="2" t="inlineStr">
        <is>
          <t>Fluid Dynamics and Heat Transfer (66) | Fluid Dynamics and Turbulent Flows (27) | Particle Dynamics in Fluid Flows (27)</t>
        </is>
      </c>
      <c r="U7" s="2" t="inlineStr"/>
      <c r="V7" s="2" t="inlineStr"/>
      <c r="W7" s="2" t="inlineStr">
        <is>
          <t>Herrmann's research interests include fluid mechanics, modeling and numerical simulation of multiphase flows with a focus on turbulent atomization processes, and numerical methods for discontinuous interfaces.</t>
        </is>
      </c>
      <c r="X7" s="2" t="inlineStr">
        <is>
          <t>PhD in Mechanical Engineering, University of Technology (RWTH) Aachen, Germany 2001 | Diploma. Mechanical and Aerospace Engineering, University of Technology (RWTH) Aachen, Germany 1995</t>
        </is>
      </c>
      <c r="Y7" s="2" t="inlineStr">
        <is>
          <t>Computational Multiphase Physics Laboratory</t>
        </is>
      </c>
      <c r="Z7" s="2" t="inlineStr"/>
      <c r="AA7" s="2" t="inlineStr"/>
      <c r="AB7" s="2" t="inlineStr"/>
      <c r="AC7" s="2" t="inlineStr"/>
      <c r="AD7" s="2" t="inlineStr"/>
      <c r="AE7" s="2" t="inlineStr"/>
      <c r="AF7" s="2" t="inlineStr"/>
      <c r="AG7" s="2" t="inlineStr">
        <is>
          <t>ENGRC 311 (TEMPE, AZ 85287-6106)</t>
        </is>
      </c>
      <c r="AH7" s="2" t="b">
        <v>1</v>
      </c>
      <c r="AI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c r="N8" s="2" t="inlineStr"/>
      <c r="O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P8" s="2" t="inlineStr">
        <is>
          <t>MAE 242: Intro to Fluid Mechanics | MAE 593: Applied Project | MAE 598: Special Topics</t>
        </is>
      </c>
      <c r="Q8" s="2" t="inlineStr"/>
      <c r="R8" s="2" t="inlineStr"/>
      <c r="S8" s="2" t="inlineStr">
        <is>
          <t>Aerodynamics and Acoustics in Jet Flows (10) | Fluid Dynamics and Turbulent Flows (8) | Computational Fluid Dynamics and Aerodynamics (3)</t>
        </is>
      </c>
      <c r="T8" s="2" t="inlineStr">
        <is>
          <t>Aerodynamics and Acoustics in Jet Flows (10) | Fluid Dynamics and Turbulent Flows (8) | Computational Fluid Dynamics and Aerodynamics (3)</t>
        </is>
      </c>
      <c r="U8" s="2" t="inlineStr"/>
      <c r="V8" s="2" t="inlineStr"/>
      <c r="W8" s="2" t="inlineStr">
        <is>
          <t>Kim's research interests include large-eddy simulation of high-speed turbulent flows with multi-physics, aeroacoustics, flow control and optimization.</t>
        </is>
      </c>
      <c r="X8" s="2" t="inlineStr">
        <is>
          <t>Ph.D. Theoretical and Applied Mechanics, University of Illinois at Urbana-Champaign | M.S. Mechanical and Aerospace Engineering, Seoul National University, South Korea | B.S. Mechanical and Aerospace Engineering, Seoul National University, South Korea</t>
        </is>
      </c>
      <c r="Y8" s="2" t="inlineStr"/>
      <c r="Z8" s="2" t="inlineStr"/>
      <c r="AA8" s="2" t="inlineStr"/>
      <c r="AB8" s="2" t="inlineStr"/>
      <c r="AC8" s="2" t="inlineStr"/>
      <c r="AD8" s="2" t="inlineStr"/>
      <c r="AE8" s="2" t="inlineStr"/>
      <c r="AF8" s="2" t="inlineStr"/>
      <c r="AG8" s="2" t="inlineStr">
        <is>
          <t>Campus: Tempe</t>
        </is>
      </c>
      <c r="AH8" s="2" t="b">
        <v>1</v>
      </c>
      <c r="AI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Micro-scale Thermal Partial Oxidation Reformer and Integrated Solid Oxide Fuel Cell Operating with Jet Fuel,</t>
        </is>
      </c>
      <c r="N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O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P9" s="2" t="inlineStr">
        <is>
          <t>MAE 593: Applied Project | MAE 436: Combustion | MAE 536: Combustion</t>
        </is>
      </c>
      <c r="Q9" s="2" t="inlineStr">
        <is>
          <t>Outstanding Faculty Mentor, Fulton Schools of Engineering, For the Fulton Forge Student Research programs, 2026 | 1st Place, Student Paper Competition, 2025 ASME IMECE Power Symposium, 2025</t>
        </is>
      </c>
      <c r="R9" s="2" t="inlineStr"/>
      <c r="S9" s="2" t="inlineStr">
        <is>
          <t>Advancements in Solid Oxide Fuel Cells (54) | Fuel Cells and Related Materials (31) | Catalytic Processes in Materials Science (30)</t>
        </is>
      </c>
      <c r="T9" s="2" t="inlineStr">
        <is>
          <t>Advancements in Solid Oxide Fuel Cells (54) | Fuel Cells and Related Materials (31) | Catalytic Processes in Materials Science (30)</t>
        </is>
      </c>
      <c r="U9" s="2" t="inlineStr">
        <is>
          <t>Energy management and efficiency, energy transition, energy storage, solid oxide fuel cells, partial oxidation, cogeneration, combustion, and synthesis of hydrogen</t>
        </is>
      </c>
      <c r="V9" s="2" t="inlineStr">
        <is>
          <t>Ceramics, Electrochemistry, Energy, Energy and Sustainability, Energy Conservation, Energy Economics, Energy Efficiency Technologies, Thin Film Materials</t>
        </is>
      </c>
      <c r="W9" s="2" t="inlineStr">
        <is>
          <t>Milcarek's current research focuses on energy management and efficiency, energy system modeling, energy transition, energy storage, solid oxide fuel cells fabrication and testing, partial oxidation and synthesis of hydrogen.</t>
        </is>
      </c>
      <c r="X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Y9" s="2" t="inlineStr"/>
      <c r="Z9" s="3">
        <f>HYPERLINK("http://RESEARCHGATE.net/profile/Ryan_Milcarek", "http://RESEARCHGATE.net/profile/Ryan_Milcarek")</f>
        <v/>
      </c>
      <c r="AA9" s="2" t="inlineStr"/>
      <c r="AB9" s="2" t="inlineStr"/>
      <c r="AC9" s="2" t="inlineStr"/>
      <c r="AD9" s="2" t="inlineStr"/>
      <c r="AE9" s="2" t="inlineStr"/>
      <c r="AF9" s="2" t="inlineStr"/>
      <c r="AG9" s="2" t="inlineStr">
        <is>
          <t>ENGRC 465 (Tempe, AZ 85287)</t>
        </is>
      </c>
      <c r="AH9" s="2" t="b">
        <v>1</v>
      </c>
      <c r="AI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c r="N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O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P10" s="2" t="inlineStr">
        <is>
          <t>MAE 501: Linear Algebra in Engineering | MAE 215: Intro to Programming in MATLAB | MAE 202: Mech.Particles/Rigid Bodies II</t>
        </is>
      </c>
      <c r="Q10" s="2" t="inlineStr"/>
      <c r="R10" s="2" t="inlineStr"/>
      <c r="S10" s="2" t="inlineStr">
        <is>
          <t>Oceanographic and Atmospheric Processes (64) | Fluid Dynamics and Turbulent Flows (53) | Meteorological Phenomena and Simulations (34)</t>
        </is>
      </c>
      <c r="T10" s="2" t="inlineStr">
        <is>
          <t>Oceanographic and Atmospheric Processes (64) | Fluid Dynamics and Turbulent Flows (53) | Meteorological Phenomena and Simulations (34)</t>
        </is>
      </c>
      <c r="U10" s="2" t="inlineStr">
        <is>
          <t>Modeling and Simulation, Oceanography, Earth Systems and Climate Science, Modeling, Modeling, Simulation and Cyberinfrastructure, Applied Mathematics</t>
        </is>
      </c>
      <c r="V10" s="2" t="inlineStr">
        <is>
          <t>Modeling and Simulation, Oceanography, Earth Systems and Climate Science, Modeling, Modeling, Simulation and Cyberinfrastructure, Applied Mathematics</t>
        </is>
      </c>
      <c r="W10" s="2" t="inlineStr">
        <is>
          <t>Scotti's main focus is theoretical, experimental and computational aspects of environmental fluid mechanics.</t>
        </is>
      </c>
      <c r="X10" s="2" t="inlineStr">
        <is>
          <t>PhD Johns Hopkins University</t>
        </is>
      </c>
      <c r="Y10" s="2" t="inlineStr"/>
      <c r="Z10" s="2" t="inlineStr"/>
      <c r="AA10" s="2" t="inlineStr"/>
      <c r="AB10" s="2" t="inlineStr"/>
      <c r="AC10" s="2" t="inlineStr"/>
      <c r="AD10" s="2" t="inlineStr"/>
      <c r="AE10" s="2" t="inlineStr"/>
      <c r="AF10" s="2" t="inlineStr"/>
      <c r="AG10" s="2" t="inlineStr">
        <is>
          <t>Campus: Tempe</t>
        </is>
      </c>
      <c r="AH10" s="2" t="b">
        <v>1</v>
      </c>
      <c r="AI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c r="N11" s="2" t="inlineStr"/>
      <c r="O11" s="2" t="inlineStr"/>
      <c r="P11" s="2" t="inlineStr">
        <is>
          <t>MAE 215: Intro to Programming in MATLAB | MAE 591: Seminar | MAE 593: Applied Project</t>
        </is>
      </c>
      <c r="Q11" s="2" t="inlineStr"/>
      <c r="R11" s="2" t="inlineStr"/>
      <c r="S11" s="2" t="inlineStr"/>
      <c r="T11" s="2" t="inlineStr"/>
      <c r="U11" s="2" t="inlineStr"/>
      <c r="V11" s="2" t="inlineStr"/>
      <c r="W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X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Y11" s="2" t="inlineStr">
        <is>
          <t>Interdisciplinary Simulation and Modeling (ISiM) Lab</t>
        </is>
      </c>
      <c r="Z11" s="3">
        <f>HYPERLINK("https://isim.asu.edu", "https://isim.asu.edu")</f>
        <v/>
      </c>
      <c r="AA11" s="2" t="inlineStr"/>
      <c r="AB11" s="2" t="inlineStr"/>
      <c r="AC11" s="2" t="inlineStr"/>
      <c r="AD11" s="2" t="inlineStr"/>
      <c r="AE11" s="2" t="inlineStr"/>
      <c r="AF11" s="2" t="inlineStr"/>
      <c r="AG11" s="2" t="inlineStr">
        <is>
          <t>ENGRC 379 (Tempe, AZ 85287-6106)</t>
        </is>
      </c>
      <c r="AH11" s="2" t="b">
        <v>1</v>
      </c>
      <c r="AI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c r="N12" s="2" t="inlineStr"/>
      <c r="O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P12" s="2" t="inlineStr">
        <is>
          <t>MAE 579: Wind Energy | MAE 242: Intro to Fluid Mechanics | MAE 593: Applied Project</t>
        </is>
      </c>
      <c r="Q12" s="2" t="inlineStr"/>
      <c r="R12" s="2" t="inlineStr"/>
      <c r="S12" s="2" t="inlineStr">
        <is>
          <t>Wind and Air Flow Studies (30) | Meteorological Phenomena and Simulations (27) | Fluid Dynamics and Turbulent Flows (13)</t>
        </is>
      </c>
      <c r="T12" s="2" t="inlineStr">
        <is>
          <t>Wind and Air Flow Studies (30) | Meteorological Phenomena and Simulations (27) | Fluid Dynamics and Turbulent Flows (13)</t>
        </is>
      </c>
      <c r="U12" s="2" t="inlineStr"/>
      <c r="V12" s="2" t="inlineStr"/>
      <c r="W12" s="2" t="inlineStr">
        <is>
          <t>Calhoun’s research interests are in fluid dynamics; atmospheric sciences; boundary layer; wind energy and remote sensing.</t>
        </is>
      </c>
      <c r="X12" s="2" t="inlineStr">
        <is>
          <t>Ph.D. Civil and Environmental Engineering, Stanford University 1998 | Engineer. Civil and Environmental Engineering, Stanford University 1993 | M.S. Civil and Environmental Engineering, Stanford University 1992 | B.S. Symbolic Systems, Stanford University 1989</t>
        </is>
      </c>
      <c r="Y12" s="2" t="inlineStr">
        <is>
          <t>Wind Energy and Atmospheric Boundary Layer Lab</t>
        </is>
      </c>
      <c r="Z12" s="3">
        <f>HYPERLINK("https://windlab.engineering.asu.edu/ronald-calhoun/", "https://windlab.engineering.asu.edu/ronald-calhoun/")</f>
        <v/>
      </c>
      <c r="AA12" s="2" t="inlineStr"/>
      <c r="AB12" s="2" t="inlineStr"/>
      <c r="AC12" s="2" t="inlineStr"/>
      <c r="AD12" s="2" t="inlineStr">
        <is>
          <t>DOE, NASA</t>
        </is>
      </c>
      <c r="AE12" s="2" t="inlineStr"/>
      <c r="AF12" s="2" t="inlineStr">
        <is>
          <t>Environmental Remote SensingGroup</t>
        </is>
      </c>
      <c r="AG12" s="2" t="inlineStr">
        <is>
          <t>Goldwater 466 (TEMPE, AZ 85287-6106)</t>
        </is>
      </c>
      <c r="AH12" s="2" t="b">
        <v>1</v>
      </c>
      <c r="AI12" s="3">
        <f>HYPERLINK("https://faculty.engineering.asu.edu/directory/semte/aerospace-and-mechanical-engineering/", "https://faculty.engineering.asu.edu/directory/semte/aerospace-and-mechanical-engineering/")</f>
        <v/>
      </c>
    </row>
    <row r="13">
      <c r="A13" s="2" t="inlineStr">
        <is>
          <t>Liping Wang</t>
        </is>
      </c>
      <c r="B13" s="2" t="inlineStr">
        <is>
          <t>Arizona State University</t>
        </is>
      </c>
      <c r="C13" s="3">
        <f>HYPERLINK("https://search.asu.edu/profile/lwang78", "https://search.asu.edu/profile/lwang78")</f>
        <v/>
      </c>
      <c r="D13" s="3">
        <f>HYPERLINK("https://scholar.google.com/citations?view_op=search_authors&amp;mauthors=Liping%20Wang%20Arizona%20State%20University", "Google Scholar Search")</f>
        <v/>
      </c>
      <c r="E13" s="2" t="inlineStr">
        <is>
          <t>Associate Professor</t>
        </is>
      </c>
      <c r="F13" s="2" t="inlineStr">
        <is>
          <t>Aerospace &amp; Mechanical Engineering</t>
        </is>
      </c>
      <c r="G13" s="2" t="inlineStr"/>
      <c r="H13" s="3">
        <f>HYPERLINK("mailto:Liping.Wang@asu.edu", "Liping.Wang@asu.edu")</f>
        <v/>
      </c>
      <c r="I13" s="2" t="n">
        <v>2</v>
      </c>
      <c r="J13" s="2" t="inlineStr">
        <is>
          <t>🟡 Tier 2: Thermal / Heat Transfer / Energy</t>
        </is>
      </c>
      <c r="K13" s="2" t="n">
        <v>7</v>
      </c>
      <c r="L13" s="2" t="inlineStr">
        <is>
          <t>aerospace, guidance, heat transfer, materials, metamaterials, radiation, thermal</t>
        </is>
      </c>
      <c r="M13" s="2" t="inlineStr">
        <is>
          <t>One PhD position available for Fall 2024 on AFM based near-field thermal measurement! ($32k/year stipend + tuition + benefit)</t>
        </is>
      </c>
      <c r="N13" s="2" t="inlineStr"/>
      <c r="O13" s="2" t="inlineStr"/>
      <c r="P13" s="2" t="inlineStr">
        <is>
          <t>MAE 584: Internship | MAE 593: Applied Project | MAE 241: Intro to Thermodynamics</t>
        </is>
      </c>
      <c r="Q13" s="2" t="inlineStr">
        <is>
          <t>2017         AFOSR Young Investigator (YIP) Award,  ASU | 2016         JQSRT/Elsevier Viskanta Young Scientist Award,  ASU</t>
        </is>
      </c>
      <c r="R1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S13" s="2" t="inlineStr"/>
      <c r="T13" s="2" t="inlineStr"/>
      <c r="U1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V13" s="2" t="inlineStr"/>
      <c r="W13" s="2" t="inlineStr">
        <is>
          <t>Wang research interests include selective control of thermal emission/absorption using meta-materials for energy harvesting and near-field radiation heat transfer enhancement between meta-materials for thermophotovoltaics.</t>
        </is>
      </c>
      <c r="X1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Y13" s="2" t="inlineStr">
        <is>
          <t>Nanoscale Thermal Radiation Lab</t>
        </is>
      </c>
      <c r="Z13" s="3">
        <f>HYPERLINK("http://faculty.engineering.asu.edu/lpwang", "http://faculty.engineering.asu.edu/lpwang")</f>
        <v/>
      </c>
      <c r="AA13" s="2" t="inlineStr">
        <is>
          <t>Multiple UG/MS research positions available for Fall 2024 (volunteer) and Spring/Summer 2025 (possible FURI / MORE support)</t>
        </is>
      </c>
      <c r="AB13" s="2" t="inlineStr"/>
      <c r="AC13" s="2" t="inlineStr">
        <is>
          <t>AFM</t>
        </is>
      </c>
      <c r="AD13" s="2" t="inlineStr">
        <is>
          <t>NASA, NSF</t>
        </is>
      </c>
      <c r="AE13" s="2" t="inlineStr"/>
      <c r="AF13" s="2" t="inlineStr">
        <is>
          <t>News&amp;Awards</t>
        </is>
      </c>
      <c r="AG13" s="2" t="inlineStr">
        <is>
          <t>ENGRC 327 (Tempe, AZ 85287-6106)</t>
        </is>
      </c>
      <c r="AH13" s="2" t="b">
        <v>1</v>
      </c>
      <c r="AI13" s="3">
        <f>HYPERLINK("https://faculty.engineering.asu.edu/directory/semte/aerospace-and-mechanical-engineering/", "https://faculty.engineering.asu.edu/directory/semte/aerospace-and-mechanical-engineering/")</f>
        <v/>
      </c>
    </row>
    <row r="14">
      <c r="A14" s="2" t="inlineStr">
        <is>
          <t>Robert Wang</t>
        </is>
      </c>
      <c r="B14" s="2" t="inlineStr">
        <is>
          <t>Arizona State University</t>
        </is>
      </c>
      <c r="C14" s="3">
        <f>HYPERLINK("https://search.asu.edu/profile/rywang", "https://search.asu.edu/profile/rywang")</f>
        <v/>
      </c>
      <c r="D14" s="3">
        <f>HYPERLINK("https://scholar.google.com/citations?hl=en&amp;user=LaUdx9gAAAAJ", "Scholar (LaUdx9gAAAAJ)")</f>
        <v/>
      </c>
      <c r="E14" s="2" t="inlineStr">
        <is>
          <t>Associate Professor</t>
        </is>
      </c>
      <c r="F14" s="2" t="inlineStr">
        <is>
          <t>Aerospace &amp; Mechanical Engineering</t>
        </is>
      </c>
      <c r="G14" s="2" t="inlineStr">
        <is>
          <t>LaUdx9gAAAAJ</t>
        </is>
      </c>
      <c r="H14" s="3">
        <f>HYPERLINK("mailto:rywang@asu.edu", "rywang@asu.edu")</f>
        <v/>
      </c>
      <c r="I14" s="2" t="n">
        <v>2</v>
      </c>
      <c r="J14" s="2" t="inlineStr">
        <is>
          <t>🟡 Tier 2: Thermal / Heat Transfer / Energy</t>
        </is>
      </c>
      <c r="K14" s="2" t="n">
        <v>4</v>
      </c>
      <c r="L14" s="2" t="inlineStr">
        <is>
          <t>composites, heat transfer, materials, thermal</t>
        </is>
      </c>
      <c r="M14" s="2" t="inlineStr"/>
      <c r="N14" s="2" t="inlineStr"/>
      <c r="O14" s="2" t="inlineStr"/>
      <c r="P14" s="2" t="inlineStr">
        <is>
          <t>MAE 241: Intro to Thermodynamics | MAE 593: Applied Project | MAE 588: Nanoscale Heat Transfer</t>
        </is>
      </c>
      <c r="Q14" s="2" t="inlineStr"/>
      <c r="R14" s="2" t="inlineStr"/>
      <c r="S14" s="2" t="inlineStr"/>
      <c r="T14" s="2" t="inlineStr"/>
      <c r="U14"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V14"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W14" s="2" t="inlineStr">
        <is>
          <t>Wang's research interests include thermal energy conversion, storage, and transport in nanostructured materials; thermoelectric power generation; thermal storage media; heat transfer, and phonon optics</t>
        </is>
      </c>
      <c r="X14" s="2" t="inlineStr">
        <is>
          <t>Ph.D. Mechanical Engineering, University of California-Berkeley 2008 | M.S. Mechanical Engineering, University of California-Berkeley 2005 | B.S. Mechanical Engineering, University of California-Los Angeles 2003</t>
        </is>
      </c>
      <c r="Y14" s="2" t="inlineStr"/>
      <c r="Z14" s="3">
        <f>HYPERLINK("http://wang.faculty.asu.edu/", "http://wang.faculty.asu.edu/")</f>
        <v/>
      </c>
      <c r="AA14" s="2" t="inlineStr"/>
      <c r="AB14" s="2" t="inlineStr"/>
      <c r="AC14" s="2" t="inlineStr"/>
      <c r="AD14" s="2" t="inlineStr"/>
      <c r="AE14" s="2" t="inlineStr"/>
      <c r="AF14" s="2" t="inlineStr">
        <is>
          <t>Thermal Energy &amp; Nanomaterials Lab</t>
        </is>
      </c>
      <c r="AG14" s="2" t="inlineStr">
        <is>
          <t>ENGRC 307 (Tempe, AZ 85287-6106)</t>
        </is>
      </c>
      <c r="AH14" s="2" t="b">
        <v>1</v>
      </c>
      <c r="AI14" s="3">
        <f>HYPERLINK("https://faculty.engineering.asu.edu/directory/semte/aerospace-and-mechanical-engineering/", "https://faculty.engineering.asu.edu/directory/semte/aerospace-and-mechanical-engineering/")</f>
        <v/>
      </c>
    </row>
    <row r="15">
      <c r="A15" s="2" t="inlineStr">
        <is>
          <t>T.-W. Lee</t>
        </is>
      </c>
      <c r="B15" s="2" t="inlineStr">
        <is>
          <t>Arizona State University</t>
        </is>
      </c>
      <c r="C15" s="3">
        <f>HYPERLINK("https://search.asu.edu/profile/attwl", "https://search.asu.edu/profile/attwl")</f>
        <v/>
      </c>
      <c r="D15" s="3">
        <f>HYPERLINK("https://scholar.google.com/citations?view_op=search_authors&amp;mauthors=T.-W.%20Lee%20Arizona%20State%20University", "Google Scholar Search")</f>
        <v/>
      </c>
      <c r="E15" s="2" t="inlineStr">
        <is>
          <t>Associate Professor</t>
        </is>
      </c>
      <c r="F15" s="2" t="inlineStr">
        <is>
          <t>Aerospace &amp; Mechanical Engineering</t>
        </is>
      </c>
      <c r="G15" s="2" t="inlineStr"/>
      <c r="H15" s="3">
        <f>HYPERLINK("mailto:ATTWL@asu.edu", "ATTWL@asu.edu")</f>
        <v/>
      </c>
      <c r="I15" s="2" t="n">
        <v>2</v>
      </c>
      <c r="J15" s="2" t="inlineStr">
        <is>
          <t>🟡 Tier 2: Thermal / Heat Transfer / Energy</t>
        </is>
      </c>
      <c r="K15" s="2" t="n">
        <v>4</v>
      </c>
      <c r="L15" s="2" t="inlineStr">
        <is>
          <t>aerospace, energy systems, propulsion, thermal</t>
        </is>
      </c>
      <c r="M15" s="2" t="inlineStr">
        <is>
          <t>N Hegde, Taewoo Lee. Laser-induced breakdown spectroscopy for in situ diagnostics of combustion parameters including tem</t>
        </is>
      </c>
      <c r="N15" s="2" t="inlineStr"/>
      <c r="O15" s="2" t="inlineStr"/>
      <c r="P15" s="2" t="inlineStr">
        <is>
          <t>MAE 565: Rocket Propulsion | MAE 593: Applied Project | MAE 570: Intermediate Thermodynamics</t>
        </is>
      </c>
      <c r="Q15" s="2" t="inlineStr"/>
      <c r="R15" s="2" t="inlineStr"/>
      <c r="S15" s="2" t="inlineStr"/>
      <c r="T15" s="2" t="inlineStr"/>
      <c r="U15" s="2" t="inlineStr"/>
      <c r="V15" s="2" t="inlineStr"/>
      <c r="W15" s="2" t="inlineStr">
        <is>
          <t>Lee's areas of expertise include energy system analysis, thermal and fluid process characterization, and fuel property measurements for energy systems.</t>
        </is>
      </c>
      <c r="X15" s="2" t="inlineStr">
        <is>
          <t>Ph.D. Aerospace Engineering, University of Michigan-Ann Arbor | M.S.E. Aerospace Engineering, University of Michigan-Ann Arbor | B.S. Aeronautical and Astronautical Engineering, The Ohio State University-Columbus</t>
        </is>
      </c>
      <c r="Y15" s="2" t="inlineStr"/>
      <c r="Z15" s="2" t="inlineStr"/>
      <c r="AA15" s="2" t="inlineStr"/>
      <c r="AB15" s="2" t="inlineStr"/>
      <c r="AC15" s="2" t="inlineStr"/>
      <c r="AD15" s="2" t="inlineStr"/>
      <c r="AE15" s="2" t="inlineStr"/>
      <c r="AF15" s="2" t="inlineStr"/>
      <c r="AG15" s="2" t="inlineStr">
        <is>
          <t>ENGRC 377 (TEMPE, AZ 85287-6106)</t>
        </is>
      </c>
      <c r="AH15" s="2" t="b">
        <v>1</v>
      </c>
      <c r="AI15" s="3">
        <f>HYPERLINK("https://faculty.engineering.asu.edu/directory/semte/aerospace-and-mechanical-engineering/", "https://faculty.engineering.asu.edu/directory/semte/aerospace-and-mechanical-engineering/")</f>
        <v/>
      </c>
    </row>
    <row r="16">
      <c r="A16" s="2" t="inlineStr">
        <is>
          <t>Tianyu Yang</t>
        </is>
      </c>
      <c r="B16" s="2" t="inlineStr">
        <is>
          <t>Arizona State University</t>
        </is>
      </c>
      <c r="C16" s="3">
        <f>HYPERLINK("https://search.asu.edu/profile/tyang123", "https://search.asu.edu/profile/tyang123")</f>
        <v/>
      </c>
      <c r="D16" s="3">
        <f>HYPERLINK("https://scholar.google.com/citations?hl=en&amp;user=OmBV67MAAAAJ", "Scholar (OmBV67MAAAAJ)")</f>
        <v/>
      </c>
      <c r="E16" s="2" t="inlineStr">
        <is>
          <t>Assistant Professor</t>
        </is>
      </c>
      <c r="F16" s="2" t="inlineStr">
        <is>
          <t>Aerospace &amp; Mechanical Engineering</t>
        </is>
      </c>
      <c r="G16" s="2" t="inlineStr">
        <is>
          <t>OmBV67MAAAAJ</t>
        </is>
      </c>
      <c r="H16" s="3">
        <f>HYPERLINK("mailto:Tianyu.Yang@asu.edu", "Tianyu.Yang@asu.edu")</f>
        <v/>
      </c>
      <c r="I16" s="2" t="n">
        <v>2</v>
      </c>
      <c r="J16" s="2" t="inlineStr">
        <is>
          <t>🟡 Tier 2: Thermal / Heat Transfer / Energy</t>
        </is>
      </c>
      <c r="K16" s="2" t="n">
        <v>4</v>
      </c>
      <c r="L16" s="2" t="inlineStr">
        <is>
          <t>autonomous, heat transfer, materials, thermal</t>
        </is>
      </c>
      <c r="M16" s="2" t="inlineStr"/>
      <c r="N16" s="2" t="inlineStr"/>
      <c r="O16" s="2" t="inlineStr"/>
      <c r="P16" s="2" t="inlineStr">
        <is>
          <t>MAE 241: Intro to Thermodynamics</t>
        </is>
      </c>
      <c r="Q16" s="2" t="inlineStr"/>
      <c r="R16" s="2" t="inlineStr"/>
      <c r="S16" s="2" t="inlineStr"/>
      <c r="T16" s="2" t="inlineStr"/>
      <c r="U16" s="2" t="inlineStr"/>
      <c r="V16" s="2" t="inlineStr"/>
      <c r="W16" s="2" t="inlineStr">
        <is>
          <t>Yang studies heat transfer, thermal management of electronics, and biomedical devices. She has published multiple research papers in major scientific journals.</t>
        </is>
      </c>
      <c r="X16" s="2" t="inlineStr">
        <is>
          <t>PhD. University of Illinois at Urbana Champaign, 2016-2021 | BS. Tsinghua University, China 2012-2016</t>
        </is>
      </c>
      <c r="Y16" s="2" t="inlineStr"/>
      <c r="Z16" s="2" t="inlineStr"/>
      <c r="AA16" s="2" t="inlineStr"/>
      <c r="AB16" s="2" t="inlineStr"/>
      <c r="AC16" s="2" t="inlineStr"/>
      <c r="AD16" s="2" t="inlineStr"/>
      <c r="AE16" s="2" t="inlineStr"/>
      <c r="AF16" s="2" t="inlineStr"/>
      <c r="AG16" s="2" t="inlineStr">
        <is>
          <t>Campus: Tempe</t>
        </is>
      </c>
      <c r="AH16" s="2" t="b">
        <v>1</v>
      </c>
      <c r="AI16" s="3">
        <f>HYPERLINK("https://faculty.engineering.asu.edu/directory/semte/aerospace-and-mechanical-engineering/", "https://faculty.engineering.asu.edu/directory/semte/aerospace-and-mechanical-engineering/")</f>
        <v/>
      </c>
    </row>
    <row r="17">
      <c r="A17" s="2" t="inlineStr">
        <is>
          <t>Beomjin Kwon</t>
        </is>
      </c>
      <c r="B17" s="2" t="inlineStr">
        <is>
          <t>Arizona State University</t>
        </is>
      </c>
      <c r="C17" s="3">
        <f>HYPERLINK("https://search.asu.edu/profile/bkwon2", "https://search.asu.edu/profile/bkwon2")</f>
        <v/>
      </c>
      <c r="D17" s="3">
        <f>HYPERLINK("https://scholar.google.com/citations?hl=en&amp;user=fs2d97sAAAAJ", "Scholar (fs2d97sAAAAJ)")</f>
        <v/>
      </c>
      <c r="E17" s="2" t="inlineStr">
        <is>
          <t>Associate Professor</t>
        </is>
      </c>
      <c r="F17" s="2" t="inlineStr">
        <is>
          <t>Aerospace &amp; Mechanical Engineering</t>
        </is>
      </c>
      <c r="G17" s="2" t="inlineStr">
        <is>
          <t>fs2d97sAAAAJ</t>
        </is>
      </c>
      <c r="H17" s="3">
        <f>HYPERLINK("mailto:kwon@asu.edu", "kwon@asu.edu")</f>
        <v/>
      </c>
      <c r="I17" s="2" t="n">
        <v>2</v>
      </c>
      <c r="J17" s="2" t="inlineStr">
        <is>
          <t>🟡 Tier 2: Thermal / Heat Transfer / Energy</t>
        </is>
      </c>
      <c r="K17" s="2" t="n">
        <v>3</v>
      </c>
      <c r="L17" s="2" t="inlineStr">
        <is>
          <t>aerospace, energy systems, heat transfer</t>
        </is>
      </c>
      <c r="M17" s="2" t="inlineStr">
        <is>
          <t>Journal Papers 62. N. Ohashi, J. Deng, L.K. Hwang, P.K. Kang, and B. Kwon, “Physics-Informed Machine Learning for Reconstructin...</t>
        </is>
      </c>
      <c r="N17" s="2" t="inlineStr"/>
      <c r="O17" s="2" t="inlineStr"/>
      <c r="P17" s="2" t="inlineStr">
        <is>
          <t>MAE 593: Applied Project | MAE 241: Intro to Thermodynamics | MAE 598: Special Topics</t>
        </is>
      </c>
      <c r="Q17" s="2" t="inlineStr"/>
      <c r="R17" s="2" t="inlineStr"/>
      <c r="S17" s="2" t="inlineStr"/>
      <c r="T17" s="2" t="inlineStr"/>
      <c r="U17" s="2" t="inlineStr">
        <is>
          <t>Transport phenomena in heat transfer systems Additive manufacturing Data-driven modeling and design</t>
        </is>
      </c>
      <c r="V17" s="2" t="inlineStr"/>
      <c r="W17" s="2" t="inlineStr">
        <is>
          <t>Kwon aims to improve the energy conversion and transport systems through the fundamental insights into transport physics, and by exploiting additive manufacturing and data-driven approaches.</t>
        </is>
      </c>
      <c r="X17" s="2" t="inlineStr">
        <is>
          <t>Ph.D. Mechanical Engineering, University of Illinois at Urbana-Champaign 2013 | M.S. Mechanical Engineering, University of Illinois at Urbana-Champaign 2009 | B.S. Mechanical and Aerospace Engineering, Seoul National University 2008</t>
        </is>
      </c>
      <c r="Y17" s="2" t="inlineStr">
        <is>
          <t>3D Energy Lab</t>
        </is>
      </c>
      <c r="Z17" s="3">
        <f>HYPERLINK("http://sites.google.com/view/3denergy", "http://sites.google.com/view/3denergy")</f>
        <v/>
      </c>
      <c r="AA17" s="2" t="inlineStr"/>
      <c r="AB17" s="2" t="inlineStr"/>
      <c r="AC17" s="2" t="inlineStr">
        <is>
          <t>3D Printer</t>
        </is>
      </c>
      <c r="AD17" s="2" t="inlineStr">
        <is>
          <t>NSF</t>
        </is>
      </c>
      <c r="AE17" s="2" t="inlineStr"/>
      <c r="AF17" s="2" t="inlineStr">
        <is>
          <t>3D Energy Device Laboratory</t>
        </is>
      </c>
      <c r="AG17" s="2" t="inlineStr">
        <is>
          <t>551 E Tyler Mall ERC 363 (Tempe, AZ 85281)</t>
        </is>
      </c>
      <c r="AH17" s="2" t="b">
        <v>1</v>
      </c>
      <c r="AI17" s="3">
        <f>HYPERLINK("https://faculty.engineering.asu.edu/directory/semte/aerospace-and-mechanical-engineering/", "https://faculty.engineering.asu.edu/directory/semte/aerospace-and-mechanical-engineering/")</f>
        <v/>
      </c>
    </row>
    <row r="18">
      <c r="A18" s="2" t="inlineStr">
        <is>
          <t>Patrick Phelan</t>
        </is>
      </c>
      <c r="B18" s="2" t="inlineStr">
        <is>
          <t>Arizona State University</t>
        </is>
      </c>
      <c r="C18" s="3">
        <f>HYPERLINK("https://search.asu.edu/profile/pphelan", "https://search.asu.edu/profile/pphelan")</f>
        <v/>
      </c>
      <c r="D18" s="3">
        <f>HYPERLINK("https://scholar.google.com/citations?view_op=search_authors&amp;mauthors=Patrick%20Phelan%20Arizona%20State%20University", "Google Scholar Search")</f>
        <v/>
      </c>
      <c r="E18" s="2" t="inlineStr">
        <is>
          <t>Professor</t>
        </is>
      </c>
      <c r="F18" s="2" t="inlineStr">
        <is>
          <t>Aerospace &amp; Mechanical Engineering</t>
        </is>
      </c>
      <c r="G18" s="2" t="inlineStr"/>
      <c r="H18" s="3">
        <f>HYPERLINK("mailto:phelan@asu.edu", "phelan@asu.edu")</f>
        <v/>
      </c>
      <c r="I18" s="2" t="n">
        <v>2</v>
      </c>
      <c r="J18" s="2" t="inlineStr">
        <is>
          <t>🟡 Tier 2: Thermal / Heat Transfer / Energy</t>
        </is>
      </c>
      <c r="K18" s="2" t="n">
        <v>3</v>
      </c>
      <c r="L18" s="2" t="inlineStr">
        <is>
          <t>aerospace, energy systems, thermal</t>
        </is>
      </c>
      <c r="M18" s="2" t="inlineStr">
        <is>
          <t>Please see my publications at Google Scholar .</t>
        </is>
      </c>
      <c r="N18" s="2" t="inlineStr"/>
      <c r="O18" s="2" t="inlineStr"/>
      <c r="P18" s="2" t="inlineStr">
        <is>
          <t>MAE 593: Applied Project | MAE 494: Special Topics | MAE 598: Special Topics</t>
        </is>
      </c>
      <c r="Q18" s="2" t="inlineStr"/>
      <c r="R18" s="2" t="inlineStr"/>
      <c r="S18" s="2" t="inlineStr"/>
      <c r="T18" s="2" t="inlineStr"/>
      <c r="U18" s="2" t="inlineStr">
        <is>
          <t>Thermal engineering, sustainable energy systems, energy management, sustainable cooling systems.</t>
        </is>
      </c>
      <c r="V18" s="2" t="inlineStr">
        <is>
          <t>Building Technology, Solar Energy Systems, Energy Efficiency Technologies, Mechanical Engineering</t>
        </is>
      </c>
      <c r="W18" s="2" t="inlineStr">
        <is>
          <t>Phelan researches and teaches in the area of sustainable energy, thermal transport and thermal management.</t>
        </is>
      </c>
      <c r="X18"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Y18" s="2" t="inlineStr"/>
      <c r="Z18" s="2" t="inlineStr"/>
      <c r="AA18" s="2" t="inlineStr"/>
      <c r="AB18" s="2" t="inlineStr"/>
      <c r="AC18" s="2" t="inlineStr"/>
      <c r="AD18" s="2" t="inlineStr"/>
      <c r="AE18" s="2" t="inlineStr"/>
      <c r="AF18" s="2" t="inlineStr"/>
      <c r="AG18" s="2" t="inlineStr">
        <is>
          <t>ENGRC 463 (TEMPE, AZ 85287-6106)</t>
        </is>
      </c>
      <c r="AH18" s="2" t="b">
        <v>1</v>
      </c>
      <c r="AI18" s="3">
        <f>HYPERLINK("https://faculty.engineering.asu.edu/directory/semte/aerospace-and-mechanical-engineering/", "https://faculty.engineering.asu.edu/directory/semte/aerospace-and-mechanical-engineering/")</f>
        <v/>
      </c>
    </row>
    <row r="19">
      <c r="A19" s="2" t="inlineStr">
        <is>
          <t>Konrad Rykaczewski</t>
        </is>
      </c>
      <c r="B19" s="2" t="inlineStr">
        <is>
          <t>Arizona State University</t>
        </is>
      </c>
      <c r="C19" s="3">
        <f>HYPERLINK("https://search.asu.edu/profile/krykacze", "https://search.asu.edu/profile/krykacze")</f>
        <v/>
      </c>
      <c r="D19" s="3">
        <f>HYPERLINK("https://scholar.google.com/citations?hl=en&amp;user=SWeAf4UAAAAJ", "Scholar (SWeAf4UAAAAJ)")</f>
        <v/>
      </c>
      <c r="E19" s="2" t="inlineStr">
        <is>
          <t>Associate Professor</t>
        </is>
      </c>
      <c r="F19" s="2" t="inlineStr">
        <is>
          <t>Aerospace &amp; Mechanical Engineering</t>
        </is>
      </c>
      <c r="G19" s="2" t="inlineStr">
        <is>
          <t>SWeAf4UAAAAJ</t>
        </is>
      </c>
      <c r="H19" s="3">
        <f>HYPERLINK("mailto:konradr@asu.edu", "konradr@asu.edu")</f>
        <v/>
      </c>
      <c r="I19" s="2" t="n">
        <v>2</v>
      </c>
      <c r="J19" s="2" t="inlineStr">
        <is>
          <t>🟡 Tier 2: Thermal / Heat Transfer / Energy</t>
        </is>
      </c>
      <c r="K19" s="2" t="n">
        <v>2</v>
      </c>
      <c r="L19" s="2" t="inlineStr">
        <is>
          <t>materials, thermal</t>
        </is>
      </c>
      <c r="M19" s="2" t="inlineStr"/>
      <c r="N19" s="2" t="inlineStr"/>
      <c r="O19" s="2" t="inlineStr"/>
      <c r="P19" s="2" t="inlineStr">
        <is>
          <t>MAE 593: Applied Project | MAE 499: Individualized Instruction | MAE 586: Advanced Heat Transfer</t>
        </is>
      </c>
      <c r="Q19" s="2" t="inlineStr"/>
      <c r="R19" s="2" t="inlineStr"/>
      <c r="S19" s="2" t="inlineStr"/>
      <c r="T19" s="2" t="inlineStr"/>
      <c r="U19" s="2" t="inlineStr"/>
      <c r="V19" s="2" t="inlineStr"/>
      <c r="W19" s="2" t="inlineStr">
        <is>
          <t>Rykaczewski's research focuses on development of soft thermal materials and system as well as studying human thermal exposure in extreme heat.</t>
        </is>
      </c>
      <c r="X19" s="2" t="inlineStr">
        <is>
          <t>Ph.D. Mechanical Engineering, Georgia Institute of Technology 2009 | M.S. Mechanical Engineering, Georgia Institute of Technology 2007 | B.S. Mechanical Engineering, Georgia Institute of Technology 2005</t>
        </is>
      </c>
      <c r="Y19" s="2" t="inlineStr">
        <is>
          <t>Nano-Bio-Thermal Engineering Laboratory</t>
        </is>
      </c>
      <c r="Z19" s="3">
        <f>HYPERLINK("http://faculty.engineering.asu.edu/konrad/", "http://faculty.engineering.asu.edu/konrad/")</f>
        <v/>
      </c>
      <c r="AA19" s="2" t="inlineStr"/>
      <c r="AB19" s="2" t="inlineStr"/>
      <c r="AC19" s="2" t="inlineStr"/>
      <c r="AD19" s="2" t="inlineStr"/>
      <c r="AE19" s="2" t="inlineStr"/>
      <c r="AF19" s="2" t="inlineStr">
        <is>
          <t>Rykaczewski Lab</t>
        </is>
      </c>
      <c r="AG19" s="2" t="inlineStr">
        <is>
          <t>ENGRC 309 (Tempe, AZ 85287)</t>
        </is>
      </c>
      <c r="AH19" s="2" t="b">
        <v>1</v>
      </c>
      <c r="AI19" s="3">
        <f>HYPERLINK("https://faculty.engineering.asu.edu/directory/semte/aerospace-and-mechanical-engineering/", "https://faculty.engineering.asu.edu/directory/semte/aerospace-and-mechanical-engineering/")</f>
        <v/>
      </c>
    </row>
    <row r="20">
      <c r="A20" s="2" t="inlineStr">
        <is>
          <t>Jay Oswald</t>
        </is>
      </c>
      <c r="B20" s="2" t="inlineStr">
        <is>
          <t>Arizona State University</t>
        </is>
      </c>
      <c r="C20" s="3">
        <f>HYPERLINK("https://search.asu.edu/profile/joswald1", "https://search.asu.edu/profile/joswald1")</f>
        <v/>
      </c>
      <c r="D20" s="3">
        <f>HYPERLINK("https://scholar.google.com/citations?view_op=search_authors&amp;mauthors=Jay%20Oswald%20Arizona%20State%20University", "Google Scholar Search")</f>
        <v/>
      </c>
      <c r="E20" s="2" t="inlineStr">
        <is>
          <t>Associate Professor</t>
        </is>
      </c>
      <c r="F20" s="2" t="inlineStr">
        <is>
          <t>Aerospace &amp; Mechanical Engineering</t>
        </is>
      </c>
      <c r="G20" s="2" t="inlineStr"/>
      <c r="H20" s="3">
        <f>HYPERLINK("mailto:joswald1@asu.edu", "joswald1@asu.edu")</f>
        <v/>
      </c>
      <c r="I20" s="2" t="n">
        <v>3</v>
      </c>
      <c r="J20" s="2" t="inlineStr">
        <is>
          <t>🟠 Tier 3: Structures / Materials / Manufacturing</t>
        </is>
      </c>
      <c r="K20" s="2" t="n">
        <v>6</v>
      </c>
      <c r="L20" s="2" t="inlineStr">
        <is>
          <t>estimation, finite element, materials, robot, robotics, solid mechanics</t>
        </is>
      </c>
      <c r="M20" s="2" t="inlineStr"/>
      <c r="N20" s="2" t="inlineStr"/>
      <c r="O20" s="2" t="inlineStr"/>
      <c r="P20" s="2" t="inlineStr">
        <is>
          <t>MAE 404: Finite Elements in Engineering | MAE 503: Finite Elements in Engineering | MAE 593: Applied Project</t>
        </is>
      </c>
      <c r="Q20" s="2" t="inlineStr"/>
      <c r="R20" s="2" t="inlineStr">
        <is>
          <t>If you're interested in joining our group, please email Prof. Oswald with your CV, research interests, and any supporting materials such as publications or code samples.</t>
        </is>
      </c>
      <c r="S20" s="2" t="inlineStr"/>
      <c r="T20" s="2" t="inlineStr"/>
      <c r="U20" s="2" t="inlineStr">
        <is>
          <t>Development of computational mechanics: finite element methods, molecular dynamics, multiscale methods, failure analysis, and material design.</t>
        </is>
      </c>
      <c r="V20" s="2" t="inlineStr"/>
      <c r="W20" s="2" t="inlineStr">
        <is>
          <t>Dr. Oswald develops computational and AI-driven methods for advanced manufacturing, including laser welding, automated inspection, robotics, and computational mechanics.</t>
        </is>
      </c>
      <c r="X20" s="2" t="inlineStr">
        <is>
          <t>Ph.D. Mechanical Engineering, Northwestern University, Evanston, IL 2011 | M.S. Mechanical Engineering, Case Western Reserve University, Cleveland, OH 2005 | B.S. Mechanical Engineering, Case Western Reserve University, Cleveland, OH 2004</t>
        </is>
      </c>
      <c r="Y20" s="2" t="inlineStr">
        <is>
          <t>Computational Mechanics Lab</t>
        </is>
      </c>
      <c r="Z20" s="3">
        <f>HYPERLINK("http://sparky.fulton.asu.edu/oswald/", "http://sparky.fulton.asu.edu/oswald/")</f>
        <v/>
      </c>
      <c r="AA20" s="2" t="inlineStr"/>
      <c r="AB20" s="2" t="inlineStr"/>
      <c r="AC20" s="2" t="inlineStr"/>
      <c r="AD20" s="2" t="inlineStr"/>
      <c r="AE20" s="2" t="inlineStr"/>
      <c r="AF20" s="2" t="inlineStr">
        <is>
          <t>Multiscale polymer analysis</t>
        </is>
      </c>
      <c r="AG20" s="2" t="inlineStr">
        <is>
          <t>ENGRC 353 (Tempe, AZ 85287-6106)</t>
        </is>
      </c>
      <c r="AH20" s="2" t="b">
        <v>1</v>
      </c>
      <c r="AI20" s="3">
        <f>HYPERLINK("https://faculty.engineering.asu.edu/directory/semte/aerospace-and-mechanical-engineering/", "https://faculty.engineering.asu.edu/directory/semte/aerospace-and-mechanical-engineering/")</f>
        <v/>
      </c>
    </row>
    <row r="21">
      <c r="A21" s="2" t="inlineStr">
        <is>
          <t>Aditi Chattopadhyay</t>
        </is>
      </c>
      <c r="B21" s="2" t="inlineStr">
        <is>
          <t>Arizona State University</t>
        </is>
      </c>
      <c r="C21" s="3">
        <f>HYPERLINK("https://search.asu.edu/profile/chattopa", "https://search.asu.edu/profile/chattopa")</f>
        <v/>
      </c>
      <c r="D21" s="3">
        <f>HYPERLINK("https://scholar.google.com/citations?hl=en&amp;user=w3fU9E0AAAAJ", "Scholar (w3fU9E0AAAAJ)")</f>
        <v/>
      </c>
      <c r="E21" s="2" t="inlineStr">
        <is>
          <t>Regents Professor</t>
        </is>
      </c>
      <c r="F21" s="2" t="inlineStr">
        <is>
          <t>Aerospace &amp; Mechanical Engineering</t>
        </is>
      </c>
      <c r="G21" s="2" t="inlineStr">
        <is>
          <t>w3fU9E0AAAAJ</t>
        </is>
      </c>
      <c r="H21" s="3">
        <f>HYPERLINK("mailto:aditi@asu.edu", "aditi@asu.edu")</f>
        <v/>
      </c>
      <c r="I21" s="2" t="n">
        <v>3</v>
      </c>
      <c r="J21" s="2" t="inlineStr">
        <is>
          <t>🟠 Tier 3: Structures / Materials / Manufacturing</t>
        </is>
      </c>
      <c r="K21" s="2" t="n">
        <v>3</v>
      </c>
      <c r="L21" s="2" t="inlineStr">
        <is>
          <t>aerospace, materials, structural health monitoring</t>
        </is>
      </c>
      <c r="M21" s="2" t="inlineStr"/>
      <c r="N21" s="2" t="inlineStr"/>
      <c r="O21" s="2" t="inlineStr"/>
      <c r="P21" s="2" t="inlineStr">
        <is>
          <t>MAE 557: Mechanics Composite Materials | MAE 494: Special Topics | MAE 521: Structural Optimization</t>
        </is>
      </c>
      <c r="Q21" s="2" t="inlineStr"/>
      <c r="R21" s="2" t="inlineStr"/>
      <c r="S21" s="2" t="inlineStr"/>
      <c r="T21" s="2" t="inlineStr"/>
      <c r="U21" s="2" t="inlineStr"/>
      <c r="V21" s="2" t="inlineStr"/>
      <c r="W21" s="2" t="inlineStr">
        <is>
          <t>Chattopadhyay is the director of Adaptive Intelligent Materials and Systems (AIMS) Center at ASU. Her research focuses on structural health monitoring and damage prognosis, and multidisciplinary design optimization.</t>
        </is>
      </c>
      <c r="X21" s="2" t="inlineStr">
        <is>
          <t>Ph. D. Aerospace Engineering, Georgia Institute of Technology | M.S. Aerospace Engineering, Georgia Institute of Technology | B. Tech. Aeronautical Engineering (Honors), Indian Institute of Technology, Kharagpur, India 1980</t>
        </is>
      </c>
      <c r="Y21" s="2" t="inlineStr">
        <is>
          <t>Adaptive Intelligent Materials &amp; Systems (AIMS) Center</t>
        </is>
      </c>
      <c r="Z21" s="2" t="inlineStr"/>
      <c r="AA21" s="2" t="inlineStr"/>
      <c r="AB21" s="2" t="inlineStr"/>
      <c r="AC21" s="2" t="inlineStr"/>
      <c r="AD21" s="2" t="inlineStr"/>
      <c r="AE21" s="2" t="inlineStr"/>
      <c r="AF21" s="2" t="inlineStr"/>
      <c r="AG21" s="2" t="inlineStr">
        <is>
          <t>ENGRC 427 (TEMPE, AZ 85287-6106)</t>
        </is>
      </c>
      <c r="AH21" s="2" t="b">
        <v>1</v>
      </c>
      <c r="AI21" s="3">
        <f>HYPERLINK("https://faculty.engineering.asu.edu/directory/semte/aerospace-and-mechanical-engineering/", "https://faculty.engineering.asu.edu/directory/semte/aerospace-and-mechanical-engineering/")</f>
        <v/>
      </c>
    </row>
    <row r="22">
      <c r="A22" s="2" t="inlineStr">
        <is>
          <t>Leila Ladani</t>
        </is>
      </c>
      <c r="B22" s="2" t="inlineStr">
        <is>
          <t>Arizona State University</t>
        </is>
      </c>
      <c r="C22" s="3">
        <f>HYPERLINK("https://search.asu.edu/profile/ljannesa", "https://search.asu.edu/profile/ljannesa")</f>
        <v/>
      </c>
      <c r="D22" s="3">
        <f>HYPERLINK("https://scholar.google.com/citations?view_op=search_authors&amp;mauthors=Leila%20Ladani%20Arizona%20State%20University", "Google Scholar Search")</f>
        <v/>
      </c>
      <c r="E22" s="2" t="inlineStr">
        <is>
          <t>Professor</t>
        </is>
      </c>
      <c r="F22" s="2" t="inlineStr">
        <is>
          <t>Aerospace &amp; Mechanical Engineering</t>
        </is>
      </c>
      <c r="G22" s="2" t="inlineStr"/>
      <c r="H22" s="3">
        <f>HYPERLINK("mailto:ladani@asu.edu", "ladani@asu.edu")</f>
        <v/>
      </c>
      <c r="I22" s="2" t="n">
        <v>3</v>
      </c>
      <c r="J22" s="2" t="inlineStr">
        <is>
          <t>🟠 Tier 3: Structures / Materials / Manufacturing</t>
        </is>
      </c>
      <c r="K22" s="2" t="n">
        <v>3</v>
      </c>
      <c r="L22" s="2" t="inlineStr">
        <is>
          <t>aerospace, materials, solid mechanics</t>
        </is>
      </c>
      <c r="M22" s="2" t="inlineStr">
        <is>
          <t>New Publication by NRT Trainee Preston Regg Angell by rsanc113 | Mar 10, 2026 | News We are excited to share a new publication ...</t>
        </is>
      </c>
      <c r="N22" s="2" t="inlineStr"/>
      <c r="O22" s="2" t="inlineStr"/>
      <c r="P22" s="2" t="inlineStr">
        <is>
          <t>MAE 598: Special Topics | MAE 494: Special Topics | MAE 201: Mech. Particles/Rigid Bodies I</t>
        </is>
      </c>
      <c r="Q22" s="2" t="inlineStr"/>
      <c r="R22" s="2" t="inlineStr"/>
      <c r="S22" s="2" t="inlineStr"/>
      <c r="T22" s="2" t="inlineStr"/>
      <c r="U22"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V22" s="2" t="inlineStr">
        <is>
          <t>Additive Manufacturing, Manufacturing Engineering</t>
        </is>
      </c>
      <c r="W22" s="2" t="inlineStr">
        <is>
          <t>Dr. Ladani is a Professor of Mechanical and Aerospace Engineering at Arizona State University.</t>
        </is>
      </c>
      <c r="X22"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Y22" s="2" t="inlineStr">
        <is>
          <t>Manufacturing and Advanced Materials Characterization (MAGIC) Lab</t>
        </is>
      </c>
      <c r="Z22" s="3">
        <f>HYPERLINK("https://magic.asu.edu/", "https://magic.asu.edu/")</f>
        <v/>
      </c>
      <c r="AA22" s="2" t="inlineStr"/>
      <c r="AB22" s="2" t="inlineStr"/>
      <c r="AC22" s="2" t="inlineStr"/>
      <c r="AD22" s="2" t="inlineStr">
        <is>
          <t>NSF</t>
        </is>
      </c>
      <c r="AE22" s="2" t="inlineStr"/>
      <c r="AF22" s="2" t="inlineStr">
        <is>
          <t>Advancing manufacturing innovation</t>
        </is>
      </c>
      <c r="AG22" s="2" t="inlineStr">
        <is>
          <t>ISTB4, ROOM 379 781 S Terrace Rd (Tempe, AZ 85287)</t>
        </is>
      </c>
      <c r="AH22" s="2" t="b">
        <v>1</v>
      </c>
      <c r="AI22" s="3">
        <f>HYPERLINK("https://faculty.engineering.asu.edu/directory/semte/aerospace-and-mechanical-engineering/", "https://faculty.engineering.asu.edu/directory/semte/aerospace-and-mechanical-engineering/")</f>
        <v/>
      </c>
    </row>
    <row r="23">
      <c r="A23" s="2" t="inlineStr">
        <is>
          <t>Houlong Zhuang</t>
        </is>
      </c>
      <c r="B23" s="2" t="inlineStr">
        <is>
          <t>Arizona State University</t>
        </is>
      </c>
      <c r="C23" s="3">
        <f>HYPERLINK("https://search.asu.edu/profile/hzhuang7", "https://search.asu.edu/profile/hzhuang7")</f>
        <v/>
      </c>
      <c r="D23" s="3">
        <f>HYPERLINK("https://scholar.google.com/citations?hl=en&amp;user=4yYKCpUAAAAJ", "Scholar (4yYKCpUAAAAJ)")</f>
        <v/>
      </c>
      <c r="E23" s="2" t="inlineStr">
        <is>
          <t>Associate Professor</t>
        </is>
      </c>
      <c r="F23" s="2" t="inlineStr">
        <is>
          <t>Aerospace &amp; Mechanical Engineering</t>
        </is>
      </c>
      <c r="G23" s="2" t="inlineStr">
        <is>
          <t>4yYKCpUAAAAJ</t>
        </is>
      </c>
      <c r="H23" s="3">
        <f>HYPERLINK("mailto:zhuanghl@asu.edu", "zhuanghl@asu.edu")</f>
        <v/>
      </c>
      <c r="I23" s="2" t="n">
        <v>3</v>
      </c>
      <c r="J23" s="2" t="inlineStr">
        <is>
          <t>🟠 Tier 3: Structures / Materials / Manufacturing</t>
        </is>
      </c>
      <c r="K23" s="2" t="n">
        <v>2</v>
      </c>
      <c r="L23" s="2" t="inlineStr">
        <is>
          <t>aerospace, materials</t>
        </is>
      </c>
      <c r="M23" s="2" t="inlineStr"/>
      <c r="N23" s="2" t="inlineStr"/>
      <c r="O23" s="2" t="inlineStr"/>
      <c r="P23" s="2" t="inlineStr">
        <is>
          <t>MAE 551: Appl Machine Learn Mech Engr | MAE 451: Appl Machine Learn Mech Engr | MAE 202: Mech.Particles/Rigid Bodies II</t>
        </is>
      </c>
      <c r="Q23" s="2" t="inlineStr"/>
      <c r="R23" s="2" t="inlineStr"/>
      <c r="S23" s="2" t="inlineStr"/>
      <c r="T23" s="2" t="inlineStr"/>
      <c r="U23" s="2" t="inlineStr">
        <is>
          <t>Quantum simulations Machine learning Quantum computing</t>
        </is>
      </c>
      <c r="V23" s="2" t="inlineStr">
        <is>
          <t>Artificial Photosynthesis, Chemistry, Computational Physics, Machine Learning, Materials Science, Metals, Nanoscience, Semiconductors</t>
        </is>
      </c>
      <c r="W23"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X23"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Y23" s="2" t="inlineStr">
        <is>
          <t>Computational Materials Science and Design Lab</t>
        </is>
      </c>
      <c r="Z23" s="2" t="inlineStr"/>
      <c r="AA23" s="2" t="inlineStr"/>
      <c r="AB23" s="2" t="inlineStr"/>
      <c r="AC23" s="2" t="inlineStr"/>
      <c r="AD23" s="2" t="inlineStr"/>
      <c r="AE23" s="2" t="inlineStr"/>
      <c r="AF23" s="2" t="inlineStr"/>
      <c r="AG23" s="2" t="inlineStr">
        <is>
          <t>Campus: Tempe</t>
        </is>
      </c>
      <c r="AH23" s="2" t="b">
        <v>1</v>
      </c>
      <c r="AI23" s="3">
        <f>HYPERLINK("https://faculty.engineering.asu.edu/directory/semte/aerospace-and-mechanical-engineering/", "https://faculty.engineering.asu.edu/directory/semte/aerospace-and-mechanical-engineering/")</f>
        <v/>
      </c>
    </row>
    <row r="24">
      <c r="A24" s="2" t="inlineStr">
        <is>
          <t>Jagannathan Rajagopalan</t>
        </is>
      </c>
      <c r="B24" s="2" t="inlineStr">
        <is>
          <t>Arizona State University</t>
        </is>
      </c>
      <c r="C24" s="3">
        <f>HYPERLINK("https://search.asu.edu/profile/jrajago1", "https://search.asu.edu/profile/jrajago1")</f>
        <v/>
      </c>
      <c r="D24" s="3">
        <f>HYPERLINK("https://scholar.google.com/citations?hl=en&amp;user=ClqRIhIAAAAJ", "Scholar (ClqRIhIAAAAJ)")</f>
        <v/>
      </c>
      <c r="E24" s="2" t="inlineStr">
        <is>
          <t>Associate Professor</t>
        </is>
      </c>
      <c r="F24" s="2" t="inlineStr">
        <is>
          <t>Aerospace &amp; Mechanical Engineering</t>
        </is>
      </c>
      <c r="G24" s="2" t="inlineStr">
        <is>
          <t>ClqRIhIAAAAJ</t>
        </is>
      </c>
      <c r="H24" s="3">
        <f>HYPERLINK("mailto:Jagannathan.Rajagopalan@asu.edu", "Jagannathan.Rajagopalan@asu.edu")</f>
        <v/>
      </c>
      <c r="I24" s="2" t="n">
        <v>3</v>
      </c>
      <c r="J24" s="2" t="inlineStr">
        <is>
          <t>🟠 Tier 3: Structures / Materials / Manufacturing</t>
        </is>
      </c>
      <c r="K24" s="2" t="n">
        <v>2</v>
      </c>
      <c r="L24" s="2" t="inlineStr">
        <is>
          <t>aerospace, materials</t>
        </is>
      </c>
      <c r="M24" s="2" t="inlineStr"/>
      <c r="N24" s="2" t="inlineStr"/>
      <c r="O24" s="2" t="inlineStr"/>
      <c r="P24" s="2" t="inlineStr">
        <is>
          <t>MAE 593: Applied Project | MAE 519: Mechanics of Micro/Nano System | MAE 213: Mechanics of Materials</t>
        </is>
      </c>
      <c r="Q24" s="2" t="inlineStr">
        <is>
          <t>2017 Best poster award at the TMS Annual Meeting. 2015 NSF CAREER award. 2010 Keynote presentation, U.S. National Congre</t>
        </is>
      </c>
      <c r="R24" s="2" t="inlineStr"/>
      <c r="S24" s="2" t="inlineStr"/>
      <c r="T24" s="2" t="inlineStr"/>
      <c r="U24" s="2" t="inlineStr">
        <is>
          <t>Synthesis of nanocrystalline materials with tailored microstructures, Mechanics of nanostructured metal and alloy films, MEMS for in situ materials testing, Polymer based micro devices for cell mechanics and biohybrid platforms</t>
        </is>
      </c>
      <c r="V24" s="2" t="inlineStr">
        <is>
          <t>Thin Film Materials, Materials Science, Mechanical Engineering</t>
        </is>
      </c>
      <c r="W24" s="2" t="inlineStr">
        <is>
          <t>Rajagopalan's research focuses on the mechanics of nanoscale materials, cells and biological systems.</t>
        </is>
      </c>
      <c r="X24"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Y24" s="2" t="inlineStr">
        <is>
          <t>Nanomechanics Laboratory</t>
        </is>
      </c>
      <c r="Z24" s="3">
        <f>HYPERLINK("http://faculty.engineering.asu.edu/jagan/", "http://faculty.engineering.asu.edu/jagan/")</f>
        <v/>
      </c>
      <c r="AA24" s="2" t="inlineStr"/>
      <c r="AB24" s="2" t="inlineStr"/>
      <c r="AC24" s="2" t="inlineStr"/>
      <c r="AD24" s="2" t="inlineStr"/>
      <c r="AE24" s="2" t="inlineStr"/>
      <c r="AF24" s="2" t="inlineStr">
        <is>
          <t>Nanostructured Materials</t>
        </is>
      </c>
      <c r="AG24" s="2" t="inlineStr">
        <is>
          <t>ENGRC 355 (Tempe, AZ 85287-6106)</t>
        </is>
      </c>
      <c r="AH24" s="2" t="b">
        <v>1</v>
      </c>
      <c r="AI24" s="3">
        <f>HYPERLINK("https://faculty.engineering.asu.edu/directory/semte/aerospace-and-mechanical-engineering/", "https://faculty.engineering.asu.edu/directory/semte/aerospace-and-mechanical-engineering/")</f>
        <v/>
      </c>
    </row>
    <row r="25">
      <c r="A25" s="2" t="inlineStr">
        <is>
          <t>Minglei Qu</t>
        </is>
      </c>
      <c r="B25" s="2" t="inlineStr">
        <is>
          <t>Arizona State University</t>
        </is>
      </c>
      <c r="C25" s="3">
        <f>HYPERLINK("https://search.asu.edu/profile/mingleiq", "https://search.asu.edu/profile/mingleiq")</f>
        <v/>
      </c>
      <c r="D25" s="3">
        <f>HYPERLINK("https://scholar.google.com/citations?hl=en&amp;user=9LWNC50AAAAJ", "Scholar (9LWNC50AAAAJ)")</f>
        <v/>
      </c>
      <c r="E25" s="2" t="inlineStr">
        <is>
          <t>Assistant Professor</t>
        </is>
      </c>
      <c r="F25" s="2" t="inlineStr">
        <is>
          <t>Aerospace &amp; Mechanical Engineering</t>
        </is>
      </c>
      <c r="G25" s="2" t="inlineStr">
        <is>
          <t>9LWNC50AAAAJ</t>
        </is>
      </c>
      <c r="H25" s="3">
        <f>HYPERLINK("mailto:minglei.qu@asu.edu", "minglei.qu@asu.edu")</f>
        <v/>
      </c>
      <c r="I25" s="2" t="n">
        <v>3</v>
      </c>
      <c r="J25" s="2" t="inlineStr">
        <is>
          <t>🟠 Tier 3: Structures / Materials / Manufacturing</t>
        </is>
      </c>
      <c r="K25" s="2" t="n">
        <v>2</v>
      </c>
      <c r="L25" s="2" t="inlineStr">
        <is>
          <t>composites, materials</t>
        </is>
      </c>
      <c r="M25" s="2" t="inlineStr"/>
      <c r="N25" s="2" t="inlineStr"/>
      <c r="O25" s="2" t="inlineStr"/>
      <c r="P25" s="2" t="inlineStr">
        <is>
          <t>MAE 213: Mechanics of Materials | MAE 598: Special Topics</t>
        </is>
      </c>
      <c r="Q25" s="2" t="inlineStr"/>
      <c r="R25" s="2" t="inlineStr"/>
      <c r="S25" s="2" t="inlineStr"/>
      <c r="T25" s="2" t="inlineStr"/>
      <c r="U25"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V25" s="2" t="inlineStr"/>
      <c r="W25"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X25" s="2" t="inlineStr">
        <is>
          <t>PhD. Mechanical Engineering, University of Wisconsin-Madison 2023</t>
        </is>
      </c>
      <c r="Y25" s="2" t="inlineStr"/>
      <c r="Z25" s="2" t="inlineStr"/>
      <c r="AA25" s="2" t="inlineStr"/>
      <c r="AB25" s="2" t="inlineStr"/>
      <c r="AC25" s="2" t="inlineStr"/>
      <c r="AD25" s="2" t="inlineStr"/>
      <c r="AE25" s="2" t="inlineStr"/>
      <c r="AF25" s="2" t="inlineStr"/>
      <c r="AG25" s="2" t="inlineStr">
        <is>
          <t>Campus: Tempe</t>
        </is>
      </c>
      <c r="AH25" s="2" t="b">
        <v>1</v>
      </c>
      <c r="AI25" s="3">
        <f>HYPERLINK("https://faculty.engineering.asu.edu/directory/semte/aerospace-and-mechanical-engineering/", "https://faculty.engineering.asu.edu/directory/semte/aerospace-and-mechanical-engineering/")</f>
        <v/>
      </c>
    </row>
    <row r="26">
      <c r="A26" s="2" t="inlineStr">
        <is>
          <t>Qiong Nian</t>
        </is>
      </c>
      <c r="B26" s="2" t="inlineStr">
        <is>
          <t>Arizona State University</t>
        </is>
      </c>
      <c r="C26" s="3">
        <f>HYPERLINK("https://search.asu.edu/profile/qnian", "https://search.asu.edu/profile/qnian")</f>
        <v/>
      </c>
      <c r="D26" s="3">
        <f>HYPERLINK("https://scholar.google.com/citations?view_op=search_authors&amp;mauthors=Qiong%20Nian%20Arizona%20State%20University", "Google Scholar Search")</f>
        <v/>
      </c>
      <c r="E26" s="2" t="inlineStr">
        <is>
          <t>Associate Professor</t>
        </is>
      </c>
      <c r="F26" s="2" t="inlineStr">
        <is>
          <t>Aerospace &amp; Mechanical Engineering</t>
        </is>
      </c>
      <c r="G26" s="2" t="inlineStr"/>
      <c r="H26" s="3">
        <f>HYPERLINK("mailto:Qiong.Nian@asu.edu", "Qiong.Nian@asu.edu")</f>
        <v/>
      </c>
      <c r="I26" s="2" t="n">
        <v>3</v>
      </c>
      <c r="J26" s="2" t="inlineStr">
        <is>
          <t>🟠 Tier 3: Structures / Materials / Manufacturing</t>
        </is>
      </c>
      <c r="K26" s="2" t="n">
        <v>2</v>
      </c>
      <c r="L26" s="2" t="inlineStr">
        <is>
          <t>aerospace, materials</t>
        </is>
      </c>
      <c r="M26" s="2" t="inlineStr">
        <is>
          <t>Multi-scale Manufacturing Material Processing Lab (MMMPL) Welcome to the home page of the MMMPL! We are a team of engineers and...</t>
        </is>
      </c>
      <c r="N26" s="2" t="inlineStr"/>
      <c r="O26" s="2" t="inlineStr"/>
      <c r="P26" s="2" t="inlineStr">
        <is>
          <t>MAE 593: Applied Project | MAE 545: Modern Manufacturing Methods | MAE 499: Individualized Instruction</t>
        </is>
      </c>
      <c r="Q26" s="2" t="inlineStr"/>
      <c r="R26" s="2" t="inlineStr"/>
      <c r="S26" s="2" t="inlineStr"/>
      <c r="T26" s="2" t="inlineStr"/>
      <c r="U26" s="2" t="inlineStr">
        <is>
          <t>Nanomanufacturing, additive manufacturing, laser-based material processing, laser matter interaction and physics simulation; inkjet printing of functional materials; and 2D materials fabrication for energy storage and bio-sensors.</t>
        </is>
      </c>
      <c r="V26" s="2" t="inlineStr">
        <is>
          <t>Additive Manufacturing, Manufacturing Engineering, Mechanical Engineering</t>
        </is>
      </c>
      <c r="W26" s="2" t="inlineStr">
        <is>
          <t>Nian's research interests include additive manufacturing, laser-based manufacturing and material processing, laser matter interaction and physics simulation, and functional materials for energy storage and bio-sensors.</t>
        </is>
      </c>
      <c r="X26" s="2" t="inlineStr">
        <is>
          <t>Ph.D. Manufacturing, Industrial Engineering, Purdue University 2015 | B.Sc. Materials Science and Engineering, University of Science and Technology of China 2009</t>
        </is>
      </c>
      <c r="Y26" s="2" t="inlineStr"/>
      <c r="Z26" s="3">
        <f>HYPERLINK("https://mmmplab.engineering.asu.edu/", "https://mmmplab.engineering.asu.edu/")</f>
        <v/>
      </c>
      <c r="AA26" s="2" t="inlineStr"/>
      <c r="AB26" s="2" t="inlineStr"/>
      <c r="AC26" s="2" t="inlineStr"/>
      <c r="AD26" s="2" t="inlineStr">
        <is>
          <t>NSF</t>
        </is>
      </c>
      <c r="AE26" s="2" t="inlineStr"/>
      <c r="AF26" s="2" t="inlineStr">
        <is>
          <t>Multi-scale Manufacturing Material Processing Lab (MMMPL)</t>
        </is>
      </c>
      <c r="AG26" s="2" t="inlineStr">
        <is>
          <t>Campus: Tempe</t>
        </is>
      </c>
      <c r="AH26" s="2" t="b">
        <v>1</v>
      </c>
      <c r="AI26" s="3">
        <f>HYPERLINK("https://faculty.engineering.asu.edu/directory/semte/aerospace-and-mechanical-engineering/", "https://faculty.engineering.asu.edu/directory/semte/aerospace-and-mechanical-engineering/")</f>
        <v/>
      </c>
    </row>
    <row r="27">
      <c r="A27" s="2" t="inlineStr">
        <is>
          <t>Yongming Liu</t>
        </is>
      </c>
      <c r="B27" s="2" t="inlineStr">
        <is>
          <t>Arizona State University</t>
        </is>
      </c>
      <c r="C27" s="3">
        <f>HYPERLINK("https://search.asu.edu/profile/yliu35", "https://search.asu.edu/profile/yliu35")</f>
        <v/>
      </c>
      <c r="D27" s="3">
        <f>HYPERLINK("https://scholar.google.com/citations?view_op=search_authors&amp;mauthors=Yongming%20Liu%20Arizona%20State%20University", "Google Scholar Search")</f>
        <v/>
      </c>
      <c r="E27" s="2" t="inlineStr">
        <is>
          <t>Professor</t>
        </is>
      </c>
      <c r="F27" s="2" t="inlineStr">
        <is>
          <t>Aerospace &amp; Mechanical Engineering</t>
        </is>
      </c>
      <c r="G27" s="2" t="inlineStr"/>
      <c r="H27" s="3">
        <f>HYPERLINK("mailto:Yongming.Liu@asu.edu", "Yongming.Liu@asu.edu")</f>
        <v/>
      </c>
      <c r="I27" s="2" t="n">
        <v>3</v>
      </c>
      <c r="J27" s="2" t="inlineStr">
        <is>
          <t>🟠 Tier 3: Structures / Materials / Manufacturing</t>
        </is>
      </c>
      <c r="K27" s="2" t="n">
        <v>2</v>
      </c>
      <c r="L27" s="2" t="inlineStr">
        <is>
          <t>aerospace, materials</t>
        </is>
      </c>
      <c r="M27" s="2" t="inlineStr"/>
      <c r="N27" s="2" t="inlineStr"/>
      <c r="O27" s="2" t="inlineStr"/>
      <c r="P27" s="2" t="inlineStr">
        <is>
          <t>MAE 548: Prob Methods for Eng Des/Analy | MAE 593: Applied Project | MAE 584: Internship</t>
        </is>
      </c>
      <c r="Q27" s="2" t="inlineStr"/>
      <c r="R27" s="2" t="inlineStr"/>
      <c r="S27" s="2" t="inlineStr"/>
      <c r="T27" s="2" t="inlineStr"/>
      <c r="U27"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V27" s="2" t="inlineStr"/>
      <c r="W27" s="2" t="inlineStr">
        <is>
          <t>Liu heads the Prognostic Analysis and Reliability Assessment Laboratory (PARA). He joined ASU in 2012.</t>
        </is>
      </c>
      <c r="X27" s="2" t="inlineStr">
        <is>
          <t>Ph.D. Civil Engineering, Vanderbilt University 2006 | M.S. Structural Engineering, Tongji University, Shanghai, China 2002 | B.S. Structural Engineering, Tongji University, Shanghai, China 1999</t>
        </is>
      </c>
      <c r="Y27" s="2" t="inlineStr">
        <is>
          <t>Prognostics and Health Management (PHM) Lab</t>
        </is>
      </c>
      <c r="Z27" s="2" t="inlineStr"/>
      <c r="AA27" s="2" t="inlineStr"/>
      <c r="AB27" s="2" t="inlineStr"/>
      <c r="AC27" s="2" t="inlineStr"/>
      <c r="AD27" s="2" t="inlineStr"/>
      <c r="AE27" s="2" t="inlineStr"/>
      <c r="AF27" s="2" t="inlineStr"/>
      <c r="AG27" s="2" t="inlineStr">
        <is>
          <t>ENGRC 409 (Tempe, AZ 85287-6106)</t>
        </is>
      </c>
      <c r="AH27" s="2" t="b">
        <v>1</v>
      </c>
      <c r="AI27" s="3">
        <f>HYPERLINK("https://faculty.engineering.asu.edu/directory/semte/aerospace-and-mechanical-engineering/", "https://faculty.engineering.asu.edu/directory/semte/aerospace-and-mechanical-engineering/")</f>
        <v/>
      </c>
    </row>
    <row r="28">
      <c r="A28" s="2" t="inlineStr">
        <is>
          <t>Cindy (Xiangjia) Li</t>
        </is>
      </c>
      <c r="B28" s="2" t="inlineStr">
        <is>
          <t>Arizona State University</t>
        </is>
      </c>
      <c r="C28" s="3">
        <f>HYPERLINK("https://search.asu.edu/profile/xiangji5", "https://search.asu.edu/profile/xiangji5")</f>
        <v/>
      </c>
      <c r="D28" s="3">
        <f>HYPERLINK("https://scholar.google.com/citations?hl=en&amp;user=tGQzHJIAAAAJ", "Scholar (tGQzHJIAAAAJ)")</f>
        <v/>
      </c>
      <c r="E28" s="2" t="inlineStr">
        <is>
          <t>Associate Professor</t>
        </is>
      </c>
      <c r="F28" s="2" t="inlineStr">
        <is>
          <t>Aerospace &amp; Mechanical Engineering</t>
        </is>
      </c>
      <c r="G28" s="2" t="inlineStr">
        <is>
          <t>tGQzHJIAAAAJ</t>
        </is>
      </c>
      <c r="H28" s="3">
        <f>HYPERLINK("mailto:xiangjia.li@asu.edu", "xiangjia.li@asu.edu")</f>
        <v/>
      </c>
      <c r="I28" s="2" t="n">
        <v>3</v>
      </c>
      <c r="J28" s="2" t="inlineStr">
        <is>
          <t>🟠 Tier 3: Structures / Materials / Manufacturing</t>
        </is>
      </c>
      <c r="K28" s="2" t="n">
        <v>1</v>
      </c>
      <c r="L28" s="2" t="inlineStr">
        <is>
          <t>materials</t>
        </is>
      </c>
      <c r="M28" s="2" t="inlineStr">
        <is>
          <t>Dylan Joralmon~, Soham Khairnar, Xiangjia Li*, "Rapid Fabrication of Multi-Metal 3D Objects with Adjustable Gradients by Contin...</t>
        </is>
      </c>
      <c r="N28" s="2" t="inlineStr"/>
      <c r="O28" s="2" t="inlineStr"/>
      <c r="P28" s="2" t="inlineStr">
        <is>
          <t>MAE 301: Applied Experimental Statistic | MAE 593: Applied Project | MAE 494: Special Topics</t>
        </is>
      </c>
      <c r="Q28" s="2" t="inlineStr">
        <is>
          <t>2026 The J. Orin Edson Entrepreneurship &amp; Innovation Seed Funding Award ASU 2025 1st place Skysong Startup Competition C</t>
        </is>
      </c>
      <c r="R28" s="2" t="inlineStr">
        <is>
          <t>If you are interested in joining us, please send the full CV (with GPA; working and research experiences; publications) to Prof. Li (email: xiangjia.li AT asu.edu).</t>
        </is>
      </c>
      <c r="S28" s="2" t="inlineStr"/>
      <c r="T28" s="2" t="inlineStr"/>
      <c r="U28"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V28" s="2" t="inlineStr">
        <is>
          <t>Ceramic Technology, Mechanics of Composite Materials, Mechanical Engineering, Biomimicry, 3D Printing, Additive Manufacturing, Manufacturing Engineering</t>
        </is>
      </c>
      <c r="W28" s="2" t="inlineStr">
        <is>
          <t>Xiangjia (Cindy) Li is an Associate Professor at Arizona State University. Her research focuses on multiscale, multimaterial additive manufacturing and bioinspired design for functional materials and devices.</t>
        </is>
      </c>
      <c r="X28"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Y28" s="2" t="inlineStr">
        <is>
          <t>Advanced Manufacturing and Bio-inspired Design Lab</t>
        </is>
      </c>
      <c r="Z28" s="3">
        <f>HYPERLINK("https://www.cindyxjli.com/", "https://www.cindyxjli.com/")</f>
        <v/>
      </c>
      <c r="AA28" s="2" t="inlineStr">
        <is>
          <t>The labMI is looking for creative, motivated and energetic Ph.D., Master and Undergraduate students from diverse science and engineering field!</t>
        </is>
      </c>
      <c r="AB28" s="2" t="inlineStr"/>
      <c r="AC28" s="2" t="inlineStr"/>
      <c r="AD28" s="2" t="inlineStr">
        <is>
          <t>NSF</t>
        </is>
      </c>
      <c r="AE28" s="2" t="inlineStr"/>
      <c r="AF28" s="2" t="inlineStr">
        <is>
          <t>Manufacturing</t>
        </is>
      </c>
      <c r="AG28" s="2" t="inlineStr">
        <is>
          <t>ERC457 551 E Tyler Mall (Tempe, AZ 85281)</t>
        </is>
      </c>
      <c r="AH28" s="2" t="b">
        <v>1</v>
      </c>
      <c r="AI28" s="3">
        <f>HYPERLINK("https://faculty.engineering.asu.edu/directory/semte/aerospace-and-mechanical-engineering/", "https://faculty.engineering.asu.edu/directory/semte/aerospace-and-mechanical-engineering/")</f>
        <v/>
      </c>
    </row>
    <row r="29">
      <c r="A29" s="2" t="inlineStr">
        <is>
          <t>Lin Li</t>
        </is>
      </c>
      <c r="B29" s="2" t="inlineStr">
        <is>
          <t>Arizona State University</t>
        </is>
      </c>
      <c r="C29" s="3">
        <f>HYPERLINK("https://search.asu.edu/profile/linli25", "https://search.asu.edu/profile/linli25")</f>
        <v/>
      </c>
      <c r="D29" s="3">
        <f>HYPERLINK("https://scholar.google.com/citations?view_op=search_authors&amp;mauthors=Lin%20Li%20Arizona%20State%20University", "Google Scholar Search")</f>
        <v/>
      </c>
      <c r="E29" s="2" t="inlineStr">
        <is>
          <t>Associate Professor</t>
        </is>
      </c>
      <c r="F29" s="2" t="inlineStr">
        <is>
          <t>Aerospace &amp; Mechanical Engineering</t>
        </is>
      </c>
      <c r="G29" s="2" t="inlineStr"/>
      <c r="H29" s="3">
        <f>HYPERLINK("mailto:Lin.Li.10@asu.edu", "Lin.Li.10@asu.edu")</f>
        <v/>
      </c>
      <c r="I29" s="2" t="n">
        <v>3</v>
      </c>
      <c r="J29" s="2" t="inlineStr">
        <is>
          <t>🟠 Tier 3: Structures / Materials / Manufacturing</t>
        </is>
      </c>
      <c r="K29" s="2" t="n">
        <v>1</v>
      </c>
      <c r="L29" s="2" t="inlineStr">
        <is>
          <t>materials</t>
        </is>
      </c>
      <c r="M29" s="2" t="inlineStr"/>
      <c r="N29" s="2" t="inlineStr"/>
      <c r="O29" s="2" t="inlineStr"/>
      <c r="P29" s="2" t="inlineStr">
        <is>
          <t>MAE 520: Stress Analysis | MAE 499: Individualized Instruction | MAE 598: Special Topics</t>
        </is>
      </c>
      <c r="Q29" s="2" t="inlineStr"/>
      <c r="R29" s="2" t="inlineStr"/>
      <c r="S29" s="2" t="inlineStr"/>
      <c r="T29" s="2" t="inlineStr"/>
      <c r="U29" s="2" t="inlineStr"/>
      <c r="V29" s="2" t="inlineStr"/>
      <c r="W29" s="2" t="inlineStr">
        <is>
          <t>Li uses multiscale material mechanics models, computational and data tools to explore advanced materials for extreme environments.</t>
        </is>
      </c>
      <c r="X29" s="2" t="inlineStr">
        <is>
          <t>PhD The Ohio State University</t>
        </is>
      </c>
      <c r="Y29" s="2" t="inlineStr"/>
      <c r="Z29" s="2" t="inlineStr"/>
      <c r="AA29" s="2" t="inlineStr"/>
      <c r="AB29" s="2" t="inlineStr"/>
      <c r="AC29" s="2" t="inlineStr"/>
      <c r="AD29" s="2" t="inlineStr"/>
      <c r="AE29" s="2" t="inlineStr"/>
      <c r="AF29" s="2" t="inlineStr"/>
      <c r="AG29" s="2" t="inlineStr">
        <is>
          <t>Campus: Tempe</t>
        </is>
      </c>
      <c r="AH29" s="2" t="b">
        <v>1</v>
      </c>
      <c r="AI29" s="3">
        <f>HYPERLINK("https://faculty.engineering.asu.edu/directory/semte/aerospace-and-mechanical-engineering/", "https://faculty.engineering.asu.edu/directory/semte/aerospace-and-mechanical-engineering/")</f>
        <v/>
      </c>
    </row>
    <row r="30">
      <c r="A30" s="2" t="inlineStr">
        <is>
          <t>Pedro Peralta</t>
        </is>
      </c>
      <c r="B30" s="2" t="inlineStr">
        <is>
          <t>Arizona State University</t>
        </is>
      </c>
      <c r="C30" s="3">
        <f>HYPERLINK("https://search.asu.edu/profile/pperalta", "https://search.asu.edu/profile/pperalta")</f>
        <v/>
      </c>
      <c r="D30" s="3">
        <f>HYPERLINK("https://scholar.google.com/citations?view_op=search_authors&amp;mauthors=Pedro%20Peralta%20Arizona%20State%20University", "Google Scholar Search")</f>
        <v/>
      </c>
      <c r="E30" s="2" t="inlineStr">
        <is>
          <t>Professor</t>
        </is>
      </c>
      <c r="F30" s="2" t="inlineStr">
        <is>
          <t>Aerospace &amp; Mechanical Engineering</t>
        </is>
      </c>
      <c r="G30" s="2" t="inlineStr"/>
      <c r="H30" s="3">
        <f>HYPERLINK("mailto:pperalta@asu.edu", "pperalta@asu.edu")</f>
        <v/>
      </c>
      <c r="I30" s="2" t="n">
        <v>3</v>
      </c>
      <c r="J30" s="2" t="inlineStr">
        <is>
          <t>🟠 Tier 3: Structures / Materials / Manufacturing</t>
        </is>
      </c>
      <c r="K30" s="2" t="n">
        <v>1</v>
      </c>
      <c r="L30" s="2" t="inlineStr">
        <is>
          <t>materials</t>
        </is>
      </c>
      <c r="M30" s="2" t="inlineStr"/>
      <c r="N30" s="2" t="inlineStr"/>
      <c r="O30" s="2" t="inlineStr"/>
      <c r="P30" s="2" t="inlineStr">
        <is>
          <t>MAE 213: Mechanics of Materials | MAE 593: Applied Project | MAE 520: Stress Analysis</t>
        </is>
      </c>
      <c r="Q30" s="2" t="inlineStr"/>
      <c r="R30" s="2" t="inlineStr"/>
      <c r="S30" s="2" t="inlineStr"/>
      <c r="T30" s="2" t="inlineStr"/>
      <c r="U30" s="2" t="inlineStr"/>
      <c r="V30" s="2" t="inlineStr"/>
      <c r="W30" s="2" t="inlineStr">
        <is>
          <t>Peralta's research focuses on mechanics of materials, fatigue and fracture of metallic alloys, dynamic and shock loading of metallic and intermetallic materials.</t>
        </is>
      </c>
      <c r="X30" s="2" t="inlineStr">
        <is>
          <t>Ph.D. Materials Science and Engineering, University of Pennsylvania | M.S. Mechanical Engineering and Applied Mechanics, University of Pennsylvania | Bachelor’s degree. Mechanical Engineering, Universidad Simón Bolívar, Caracas, Venezuela</t>
        </is>
      </c>
      <c r="Y30" s="2" t="inlineStr"/>
      <c r="Z30" s="3">
        <f>HYPERLINK("https://faculty.engineering.asu.edu/pperalta/", "https://faculty.engineering.asu.edu/pperalta/")</f>
        <v/>
      </c>
      <c r="AA30" s="2" t="inlineStr"/>
      <c r="AB30" s="2" t="inlineStr"/>
      <c r="AC30" s="2" t="inlineStr"/>
      <c r="AD30" s="2" t="inlineStr"/>
      <c r="AE30" s="2" t="inlineStr"/>
      <c r="AF30" s="2" t="inlineStr"/>
      <c r="AG30" s="2" t="inlineStr">
        <is>
          <t>ENGRC 352 (TEMPE, AZ 85287-6106)</t>
        </is>
      </c>
      <c r="AH30" s="2" t="b">
        <v>1</v>
      </c>
      <c r="AI30" s="3">
        <f>HYPERLINK("https://faculty.engineering.asu.edu/directory/semte/aerospace-and-mechanical-engineering/", "https://faculty.engineering.asu.edu/directory/semte/aerospace-and-mechanical-engineering/")</f>
        <v/>
      </c>
    </row>
    <row r="31">
      <c r="A31" s="2" t="inlineStr">
        <is>
          <t>Wonmo Kang</t>
        </is>
      </c>
      <c r="B31" s="2" t="inlineStr">
        <is>
          <t>Arizona State University</t>
        </is>
      </c>
      <c r="C31" s="3">
        <f>HYPERLINK("https://search.asu.edu/profile/wkang16", "https://search.asu.edu/profile/wkang16")</f>
        <v/>
      </c>
      <c r="D31" s="3">
        <f>HYPERLINK("https://scholar.google.com/citations?hl=en&amp;user=bHyyOTAAAAAJ", "Scholar (bHyyOTAAAAAJ)")</f>
        <v/>
      </c>
      <c r="E31" s="2" t="inlineStr">
        <is>
          <t>Associate Professor</t>
        </is>
      </c>
      <c r="F31" s="2" t="inlineStr">
        <is>
          <t>Aerospace &amp; Mechanical Engineering</t>
        </is>
      </c>
      <c r="G31" s="2" t="inlineStr">
        <is>
          <t>bHyyOTAAAAAJ</t>
        </is>
      </c>
      <c r="H31" s="3">
        <f>HYPERLINK("mailto:Wonmo.Kang@asu.edu", "Wonmo.Kang@asu.edu")</f>
        <v/>
      </c>
      <c r="I31" s="2" t="n">
        <v>3</v>
      </c>
      <c r="J31" s="2" t="inlineStr">
        <is>
          <t>🟠 Tier 3: Structures / Materials / Manufacturing</t>
        </is>
      </c>
      <c r="K31" s="2" t="n">
        <v>1</v>
      </c>
      <c r="L31" s="2" t="inlineStr">
        <is>
          <t>materials</t>
        </is>
      </c>
      <c r="M31" s="2" t="inlineStr">
        <is>
          <t>top of page This website was built on Wix. Create yours today. Get Started Bio &amp; Nano Lab Home Dr. Kang Lab Members Publication...</t>
        </is>
      </c>
      <c r="N31" s="2" t="inlineStr"/>
      <c r="O31" s="2" t="inlineStr"/>
      <c r="P31" s="2" t="inlineStr">
        <is>
          <t>MAE 598: Special Topics | MAE 494: Special Topics | MAE 202: Mech.Particles/Rigid Bodies II</t>
        </is>
      </c>
      <c r="Q31" s="2" t="inlineStr">
        <is>
          <t>NSF Career Award through the Advanced Manufacturing (AM) program, 2024. | U.S. Air Force Research Lab Summer Faculty (AFRL) Fellowship , 2021.</t>
        </is>
      </c>
      <c r="R31" s="2" t="inlineStr"/>
      <c r="S31" s="2" t="inlineStr"/>
      <c r="T31" s="2" t="inlineStr"/>
      <c r="U31" s="2" t="inlineStr">
        <is>
          <t>Mechanics of Composite Materials, Micro and Nanoscale Bioengineering, Nanotechnology, Thin Film Materials</t>
        </is>
      </c>
      <c r="V31" s="2" t="inlineStr">
        <is>
          <t>Mechanics of Composite Materials, Micro and Nanoscale Bioengineering, Nanotechnology, Thin Film Materials</t>
        </is>
      </c>
      <c r="W31" s="2" t="inlineStr">
        <is>
          <t>Kang's current research interests include functional materials for energy/manufacturing applications and biomaterials/biomechanics for injury and wound healing mechanisms.</t>
        </is>
      </c>
      <c r="X31" s="2" t="inlineStr">
        <is>
          <t>Ph.D. Mechanical Science and Engineering, University of Illinois at Urbana-Champaign 2012</t>
        </is>
      </c>
      <c r="Y31" s="2" t="inlineStr"/>
      <c r="Z31" s="3">
        <f>HYPERLINK("https://wonmokang3.wixsite.com/website", "https://wonmokang3.wixsite.com/website")</f>
        <v/>
      </c>
      <c r="AA31" s="2" t="inlineStr">
        <is>
          <t>Actively recruiting / Openings mentioned on lab site</t>
        </is>
      </c>
      <c r="AB31" s="2" t="inlineStr"/>
      <c r="AC31" s="2" t="inlineStr">
        <is>
          <t>SEM</t>
        </is>
      </c>
      <c r="AD31" s="2" t="inlineStr">
        <is>
          <t>NSF, ONR</t>
        </is>
      </c>
      <c r="AE31" s="2" t="inlineStr"/>
      <c r="AF31" s="2" t="inlineStr">
        <is>
          <t>Highlighted as a cover in Small</t>
        </is>
      </c>
      <c r="AG31" s="2" t="inlineStr">
        <is>
          <t>Campus: Tempe</t>
        </is>
      </c>
      <c r="AH31" s="2" t="b">
        <v>1</v>
      </c>
      <c r="AI31" s="3">
        <f>HYPERLINK("https://faculty.engineering.asu.edu/directory/semte/aerospace-and-mechanical-engineering/", "https://faculty.engineering.asu.edu/directory/semte/aerospace-and-mechanical-engineering/")</f>
        <v/>
      </c>
    </row>
    <row r="32">
      <c r="A32" s="2" t="inlineStr">
        <is>
          <t>Jiefeng Sun</t>
        </is>
      </c>
      <c r="B32" s="2" t="inlineStr">
        <is>
          <t>Arizona State University</t>
        </is>
      </c>
      <c r="C32" s="3">
        <f>HYPERLINK("https://search.asu.edu/profile/jsun165", "https://search.asu.edu/profile/jsun165")</f>
        <v/>
      </c>
      <c r="D32" s="3">
        <f>HYPERLINK("https://scholar.google.com/citations?hl=en&amp;user=fjUoHOsAAAAJ", "Scholar (fjUoHOsAAAAJ)")</f>
        <v/>
      </c>
      <c r="E32" s="2" t="inlineStr">
        <is>
          <t>Assistant Professor</t>
        </is>
      </c>
      <c r="F32" s="2" t="inlineStr">
        <is>
          <t>Aerospace &amp; Mechanical Engineering</t>
        </is>
      </c>
      <c r="G32" s="2" t="inlineStr">
        <is>
          <t>fjUoHOsAAAAJ</t>
        </is>
      </c>
      <c r="H32" s="3">
        <f>HYPERLINK("mailto:Jiefeng.Sun@asu.edu", "Jiefeng.Sun@asu.edu")</f>
        <v/>
      </c>
      <c r="I32" s="2" t="n">
        <v>4</v>
      </c>
      <c r="J32" s="2" t="inlineStr">
        <is>
          <t>🔴 Tier 4: Robotics / Controls / Autonomy</t>
        </is>
      </c>
      <c r="K32" s="2" t="n">
        <v>6</v>
      </c>
      <c r="L32" s="2" t="inlineStr">
        <is>
          <t>aerospace, autonomous, materials, robot, robotics, smart materials</t>
        </is>
      </c>
      <c r="M32" s="2" t="inlineStr">
        <is>
          <t>2026 Versatile artificial muscles by decoupling anisotropy Eric Weissman, Rohan Khatavkar, and Jiefeng Sun Proceedings of the N...</t>
        </is>
      </c>
      <c r="N32" s="2" t="inlineStr"/>
      <c r="O32" s="2" t="inlineStr"/>
      <c r="P32" s="2" t="inlineStr">
        <is>
          <t>MAE 547: Modeling and Control of Robots | MAE 593: Applied Project | MAE 499: Individualized Instruction</t>
        </is>
      </c>
      <c r="Q32" s="2" t="inlineStr"/>
      <c r="R32"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S32" s="2" t="inlineStr"/>
      <c r="T32" s="2" t="inlineStr"/>
      <c r="U32" s="2" t="inlineStr">
        <is>
          <t>Hire students to conduct research https://sunroboticslab.github.io</t>
        </is>
      </c>
      <c r="V32" s="2" t="inlineStr">
        <is>
          <t>Autonomous Technologies, Control Systems, Mechanical Engineering, Robotics</t>
        </is>
      </c>
      <c r="W32" s="2" t="inlineStr">
        <is>
          <t>Sun's research focuses on the design, dynamics, and control of soft robots and artificial muscles</t>
        </is>
      </c>
      <c r="X32" s="2" t="inlineStr">
        <is>
          <t>Ph.D. in Robotics and Control, Colorado State University, 2022 M.S. in Mechanical Engineering, Dalian University of Technology, 2017 B.S. in Mechanical Engineering, Lanzhou University of Technology, 2014</t>
        </is>
      </c>
      <c r="Y32" s="2" t="inlineStr">
        <is>
          <t>Sun Robotics Lab</t>
        </is>
      </c>
      <c r="Z32" s="3">
        <f>HYPERLINK("https://sunroboticslab.github.io", "https://sunroboticslab.github.io")</f>
        <v/>
      </c>
      <c r="AA32"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AB32" s="2" t="inlineStr"/>
      <c r="AC32" s="2" t="inlineStr"/>
      <c r="AD32" s="2" t="inlineStr"/>
      <c r="AE32" s="2" t="inlineStr"/>
      <c r="AF32" s="2" t="inlineStr">
        <is>
          <t>Mission and Core Values</t>
        </is>
      </c>
      <c r="AG32" s="2" t="inlineStr">
        <is>
          <t>Campus: Tempe</t>
        </is>
      </c>
      <c r="AH32" s="2" t="b">
        <v>1</v>
      </c>
      <c r="AI32" s="3">
        <f>HYPERLINK("https://faculty.engineering.asu.edu/directory/semte/aerospace-and-mechanical-engineering/", "https://faculty.engineering.asu.edu/directory/semte/aerospace-and-mechanical-engineering/")</f>
        <v/>
      </c>
    </row>
    <row r="33">
      <c r="A33" s="2" t="inlineStr">
        <is>
          <t>Kunal Garg</t>
        </is>
      </c>
      <c r="B33" s="2" t="inlineStr">
        <is>
          <t>Arizona State University</t>
        </is>
      </c>
      <c r="C33" s="3">
        <f>HYPERLINK("https://search.asu.edu/profile/kgarg24", "https://search.asu.edu/profile/kgarg24")</f>
        <v/>
      </c>
      <c r="D33" s="3">
        <f>HYPERLINK("https://scholar.google.com/citations?hl=en&amp;user=vs3pl-8AAAAJ", "Scholar (vs3pl-8AAAAJ)")</f>
        <v/>
      </c>
      <c r="E33" s="2" t="inlineStr">
        <is>
          <t>Assistant Professor</t>
        </is>
      </c>
      <c r="F33" s="2" t="inlineStr">
        <is>
          <t>Aerospace &amp; Mechanical Engineering</t>
        </is>
      </c>
      <c r="G33" s="2" t="inlineStr">
        <is>
          <t>vs3pl-8AAAAJ</t>
        </is>
      </c>
      <c r="H33" s="3">
        <f>HYPERLINK("mailto:kgarg24@asu.edu", "kgarg24@asu.edu")</f>
        <v/>
      </c>
      <c r="I33" s="2" t="n">
        <v>4</v>
      </c>
      <c r="J33" s="2" t="inlineStr">
        <is>
          <t>🔴 Tier 4: Robotics / Controls / Autonomy</t>
        </is>
      </c>
      <c r="K33" s="2" t="n">
        <v>6</v>
      </c>
      <c r="L33" s="2" t="inlineStr">
        <is>
          <t>aerospace, autonomous, control theory, motion planning, robot, robotics</t>
        </is>
      </c>
      <c r="M33" s="2" t="inlineStr">
        <is>
          <t>Search this site Embedded Files Skip to main content Skip to navigation Kunal Garg Home People Teaching Research Publications K...</t>
        </is>
      </c>
      <c r="N33" s="2" t="inlineStr"/>
      <c r="O33" s="2" t="inlineStr"/>
      <c r="P33" s="2" t="inlineStr">
        <is>
          <t>MAE 417: System Dynamics and Control II | MAE 593: Applied Project | MAE 598: Special Topics</t>
        </is>
      </c>
      <c r="Q33" s="2" t="inlineStr"/>
      <c r="R33"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S33" s="2" t="inlineStr"/>
      <c r="T33" s="2" t="inlineStr"/>
      <c r="U33" s="2" t="inlineStr">
        <is>
          <t>Distributed multi-agent motion planning and control, Provably safe control design using machine learning-based certificates, Foundation models in complex robotic tasks, Failure prediction from limited demonstrations, Human-robot interaction.</t>
        </is>
      </c>
      <c r="V33" s="2" t="inlineStr">
        <is>
          <t>Control Systems, Dynamical Systems, Machine Learning, Nonlinear Dynamical Systems, Robotics</t>
        </is>
      </c>
      <c r="W33" s="2" t="inlineStr">
        <is>
          <t>Garg's research interests include control synthesis for multi-agent coordination using control theory and machine learning.</t>
        </is>
      </c>
      <c r="X33" s="2" t="inlineStr">
        <is>
          <t>PhD. Aerospace Engineering, University of Michigan, Ann Arbor, 2021 MS. Aerospace Engineering, University of Michigan, Ann Arbor, 2019 BTech. Aerospace Engineering, Indian Institute of Technology, Bombay, 2016</t>
        </is>
      </c>
      <c r="Y33" s="2" t="inlineStr">
        <is>
          <t>Safe and Autonomous Robotics (STAR) Lab</t>
        </is>
      </c>
      <c r="Z33" s="3">
        <f>HYPERLINK("https://sites.google.com/asu.edu/kunalgarg/", "https://sites.google.com/asu.edu/kunalgarg/")</f>
        <v/>
      </c>
      <c r="AA33" s="2" t="inlineStr">
        <is>
          <t>Actively seeking graduate students (see lab link/instructions)</t>
        </is>
      </c>
      <c r="AB33" s="2" t="inlineStr">
        <is>
          <t>Python, PyTorch, ROS, ROS2, C/C++, Linear Algebra</t>
        </is>
      </c>
      <c r="AC33" s="2" t="inlineStr"/>
      <c r="AD33" s="2" t="inlineStr"/>
      <c r="AE33" s="2" t="inlineStr"/>
      <c r="AF33" s="2" t="inlineStr"/>
      <c r="AG33" s="2" t="inlineStr">
        <is>
          <t>551 E Tyler Mall ERC 475 (Tempe, AZ 85281)</t>
        </is>
      </c>
      <c r="AH33" s="2" t="b">
        <v>1</v>
      </c>
      <c r="AI33" s="3">
        <f>HYPERLINK("https://faculty.engineering.asu.edu/directory/semte/aerospace-and-mechanical-engineering/", "https://faculty.engineering.asu.edu/directory/semte/aerospace-and-mechanical-engineering/")</f>
        <v/>
      </c>
    </row>
    <row r="34">
      <c r="A34" s="2" t="inlineStr">
        <is>
          <t>Spring Berman</t>
        </is>
      </c>
      <c r="B34" s="2" t="inlineStr">
        <is>
          <t>Arizona State University</t>
        </is>
      </c>
      <c r="C34" s="3">
        <f>HYPERLINK("https://search.asu.edu/profile/smberma2", "https://search.asu.edu/profile/smberma2")</f>
        <v/>
      </c>
      <c r="D34" s="3">
        <f>HYPERLINK("https://scholar.google.com/citations?hl=en&amp;user=KKup0OgAAAAJ", "Scholar (KKup0OgAAAAJ)")</f>
        <v/>
      </c>
      <c r="E34" s="2" t="inlineStr">
        <is>
          <t>Professor</t>
        </is>
      </c>
      <c r="F34" s="2" t="inlineStr">
        <is>
          <t>Aerospace &amp; Mechanical Engineering</t>
        </is>
      </c>
      <c r="G34" s="2" t="inlineStr">
        <is>
          <t>KKup0OgAAAAJ</t>
        </is>
      </c>
      <c r="H34" s="3">
        <f>HYPERLINK("mailto:Spring.Berman@asu.edu", "Spring.Berman@asu.edu")</f>
        <v/>
      </c>
      <c r="I34" s="2" t="n">
        <v>4</v>
      </c>
      <c r="J34" s="2" t="inlineStr">
        <is>
          <t>🔴 Tier 4: Robotics / Controls / Autonomy</t>
        </is>
      </c>
      <c r="K34" s="2" t="n">
        <v>5</v>
      </c>
      <c r="L34" s="2" t="inlineStr">
        <is>
          <t>aerospace, autonomous, control theory, robot, robotics</t>
        </is>
      </c>
      <c r="M34" s="2" t="inlineStr"/>
      <c r="N34" s="2" t="inlineStr"/>
      <c r="O34" s="2" t="inlineStr"/>
      <c r="P34" s="2" t="inlineStr">
        <is>
          <t>MAE 318: System Dynamics and Control I | MAE 598: Special Topics | MAE 593: Applied Project</t>
        </is>
      </c>
      <c r="Q34" s="2" t="inlineStr"/>
      <c r="R34" s="2" t="inlineStr"/>
      <c r="S34" s="2" t="inlineStr"/>
      <c r="T34" s="2" t="inlineStr"/>
      <c r="U34" s="2" t="inlineStr">
        <is>
          <t>Modeling, analysis, control, and optimization of multi-robot systems including robotic swarms; analysis of collective behaviors in biology and biologically-inspired control of distributed systems</t>
        </is>
      </c>
      <c r="V34" s="2" t="inlineStr">
        <is>
          <t>Systems and Control Theory, Mechanical Engineering, Autonomous Technologies, Robotics</t>
        </is>
      </c>
      <c r="W34" s="2" t="inlineStr">
        <is>
          <t>Dr. Berman directs the Autonomous Collective Systems Laboratory at ASU, which models and analyzes behaviors in biological and engineered collectives and designs control strategies for multi-robot systems.</t>
        </is>
      </c>
      <c r="X34"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Y34" s="2" t="inlineStr">
        <is>
          <t>Autonomous Collective Systems (ACS) Laboratory</t>
        </is>
      </c>
      <c r="Z34" s="3">
        <f>HYPERLINK("http://faculty.engineering.asu.edu/acs/", "http://faculty.engineering.asu.edu/acs/")</f>
        <v/>
      </c>
      <c r="AA34" s="2" t="inlineStr"/>
      <c r="AB34" s="2" t="inlineStr"/>
      <c r="AC34" s="2" t="inlineStr"/>
      <c r="AD34" s="2" t="inlineStr"/>
      <c r="AE34" s="2" t="inlineStr"/>
      <c r="AF34" s="2" t="inlineStr"/>
      <c r="AG34" s="2" t="inlineStr">
        <is>
          <t>ENGRC 375 (Tempe, AZ 85287-6106)</t>
        </is>
      </c>
      <c r="AH34" s="2" t="b">
        <v>1</v>
      </c>
      <c r="AI34" s="3">
        <f>HYPERLINK("https://faculty.engineering.asu.edu/directory/semte/aerospace-and-mechanical-engineering/", "https://faculty.engineering.asu.edu/directory/semte/aerospace-and-mechanical-engineering/")</f>
        <v/>
      </c>
    </row>
    <row r="35">
      <c r="A35" s="2" t="inlineStr">
        <is>
          <t>Zhe Xu</t>
        </is>
      </c>
      <c r="B35" s="2" t="inlineStr">
        <is>
          <t>Arizona State University</t>
        </is>
      </c>
      <c r="C35" s="3">
        <f>HYPERLINK("https://search.asu.edu/profile/xzhe1", "https://search.asu.edu/profile/xzhe1")</f>
        <v/>
      </c>
      <c r="D35" s="3">
        <f>HYPERLINK("https://scholar.google.com/citations?view_op=search_authors&amp;mauthors=Zhe%20Xu%20Arizona%20State%20University", "Google Scholar Search")</f>
        <v/>
      </c>
      <c r="E35" s="2" t="inlineStr">
        <is>
          <t>Assistant Professor</t>
        </is>
      </c>
      <c r="F35" s="2" t="inlineStr">
        <is>
          <t>Aerospace &amp; Mechanical Engineering</t>
        </is>
      </c>
      <c r="G35" s="2" t="inlineStr"/>
      <c r="H35" s="3">
        <f>HYPERLINK("mailto:xzhe1@asu.edu", "xzhe1@asu.edu")</f>
        <v/>
      </c>
      <c r="I35" s="2" t="n">
        <v>4</v>
      </c>
      <c r="J35" s="2" t="inlineStr">
        <is>
          <t>🔴 Tier 4: Robotics / Controls / Autonomy</t>
        </is>
      </c>
      <c r="K35" s="2" t="n">
        <v>5</v>
      </c>
      <c r="L35" s="2" t="inlineStr">
        <is>
          <t>autonomous, control theory, energy systems, robot, robotics</t>
        </is>
      </c>
      <c r="M35" s="2" t="inlineStr">
        <is>
          <t>Search this site Embedded Files Skip to main content Skip to navigation Home Publications Research Teaching Group Members Outre...</t>
        </is>
      </c>
      <c r="N35" s="2" t="inlineStr"/>
      <c r="O35" s="2" t="inlineStr"/>
      <c r="P35" s="2" t="inlineStr">
        <is>
          <t>MAE 506: Adv Sys Model, Dynamic, Contrl | MAE 318: System Dynamics and Control I | MAE 593: Applied Project</t>
        </is>
      </c>
      <c r="Q35" s="2" t="inlineStr"/>
      <c r="R35" s="2" t="inlineStr"/>
      <c r="S35" s="2" t="inlineStr"/>
      <c r="T35" s="2" t="inlineStr"/>
      <c r="U35" s="2" t="inlineStr">
        <is>
          <t>The research interests include control theory, machine learning, formal methods and autonomous systems.</t>
        </is>
      </c>
      <c r="V35" s="2" t="inlineStr">
        <is>
          <t>Artificial Intelligence, Control Systems, Electric Power and Energy Systems, Machine Learning, Robotics, Systems and Control Theory</t>
        </is>
      </c>
      <c r="W35" s="2" t="inlineStr">
        <is>
          <t>My research interests include control theory, formal methods, and machine learning (including reinforcement learning), with applications on autonomous systems and cyber-physical systems.</t>
        </is>
      </c>
      <c r="X35"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Y35" s="2" t="inlineStr"/>
      <c r="Z35" s="3">
        <f>HYPERLINK("https://sites.google.com/site/zhexudavid00710/research?authuser=0", "https://sites.google.com/site/zhexudavid00710/research?authuser=0")</f>
        <v/>
      </c>
      <c r="AA35" s="2" t="inlineStr"/>
      <c r="AB35" s="2" t="inlineStr"/>
      <c r="AC35" s="2" t="inlineStr"/>
      <c r="AD35" s="2" t="inlineStr"/>
      <c r="AE35" s="2" t="inlineStr"/>
      <c r="AF35" s="2" t="inlineStr"/>
      <c r="AG35" s="2" t="inlineStr">
        <is>
          <t>Campus: Tempe</t>
        </is>
      </c>
      <c r="AH35" s="2" t="b">
        <v>1</v>
      </c>
      <c r="AI35" s="3">
        <f>HYPERLINK("https://faculty.engineering.asu.edu/directory/semte/aerospace-and-mechanical-engineering/", "https://faculty.engineering.asu.edu/directory/semte/aerospace-and-mechanical-engineering/")</f>
        <v/>
      </c>
    </row>
    <row r="36">
      <c r="A36" s="2" t="inlineStr">
        <is>
          <t>Matthew Peet</t>
        </is>
      </c>
      <c r="B36" s="2" t="inlineStr">
        <is>
          <t>Arizona State University</t>
        </is>
      </c>
      <c r="C36" s="3">
        <f>HYPERLINK("https://search.asu.edu/profile/mpeet", "https://search.asu.edu/profile/mpeet")</f>
        <v/>
      </c>
      <c r="D36" s="3">
        <f>HYPERLINK("https://scholar.google.com/citations?hl=en&amp;user=l7umOqMAAAAJ", "Scholar (l7umOqMAAAAJ)")</f>
        <v/>
      </c>
      <c r="E36" s="2" t="inlineStr">
        <is>
          <t>Associate Professor</t>
        </is>
      </c>
      <c r="F36" s="2" t="inlineStr">
        <is>
          <t>Aerospace &amp; Mechanical Engineering</t>
        </is>
      </c>
      <c r="G36" s="2" t="inlineStr">
        <is>
          <t>l7umOqMAAAAJ</t>
        </is>
      </c>
      <c r="H36" s="3">
        <f>HYPERLINK("mailto:mpeet@asu.edu", "mpeet@asu.edu")</f>
        <v/>
      </c>
      <c r="I36" s="2" t="n">
        <v>4</v>
      </c>
      <c r="J36" s="2" t="inlineStr">
        <is>
          <t>🔴 Tier 4: Robotics / Controls / Autonomy</t>
        </is>
      </c>
      <c r="K36" s="2" t="n">
        <v>4</v>
      </c>
      <c r="L36" s="2" t="inlineStr">
        <is>
          <t>aerospace, materials, spacecraft, system dynamics</t>
        </is>
      </c>
      <c r="M36" s="2" t="inlineStr"/>
      <c r="N36" s="2" t="inlineStr"/>
      <c r="O36" s="2" t="inlineStr"/>
      <c r="P36" s="2" t="inlineStr">
        <is>
          <t>MAE 593: Applied Project | MAE 318: System Dynamics and Control I | MAE 509: LMI Methods</t>
        </is>
      </c>
      <c r="Q36" s="2" t="inlineStr"/>
      <c r="R36" s="2" t="inlineStr"/>
      <c r="S36" s="2" t="inlineStr"/>
      <c r="T36" s="2" t="inlineStr"/>
      <c r="U36"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V36" s="2" t="inlineStr">
        <is>
          <t>Control Systems, Dynamical Systems Theory, Aerospace Engineering, Algorithm Development, Dynamical Systems, Nonlinear Dynamical Systems, Mathematical and System Dynamics Modeling, Immunology</t>
        </is>
      </c>
      <c r="W36" s="2" t="inlineStr">
        <is>
          <t>Peet's current research interests are in the role of computation as it is applied to the understanding and control of complex and large-scale systems.</t>
        </is>
      </c>
      <c r="X36" s="2" t="inlineStr">
        <is>
          <t>Ph.D. Aeronautics and Astronautics, Stanford University 2006 | Bachelor's degree. Physics, University of Texas-Austin 1999 | Bachelor's degree. Aerospace Engineering, University of Texas-Austin 1999</t>
        </is>
      </c>
      <c r="Y36" s="2" t="inlineStr">
        <is>
          <t>Cybernetic Systems and Controls Laboratory (CSCL)</t>
        </is>
      </c>
      <c r="Z36" s="3">
        <f>HYPERLINK("http://control.asu.edu/", "http://control.asu.edu/")</f>
        <v/>
      </c>
      <c r="AA36" s="2" t="inlineStr"/>
      <c r="AB36" s="2" t="inlineStr"/>
      <c r="AC36" s="2" t="inlineStr"/>
      <c r="AD36" s="2" t="inlineStr"/>
      <c r="AE36" s="2" t="inlineStr"/>
      <c r="AF36" s="2" t="inlineStr"/>
      <c r="AG36" s="2" t="inlineStr">
        <is>
          <t>ENGRC 253 (Tempe, AZ 85287-6106)</t>
        </is>
      </c>
      <c r="AH36" s="2" t="b">
        <v>1</v>
      </c>
      <c r="AI36" s="3">
        <f>HYPERLINK("https://faculty.engineering.asu.edu/directory/semte/aerospace-and-mechanical-engineering/", "https://faculty.engineering.asu.edu/directory/semte/aerospace-and-mechanical-engineering/")</f>
        <v/>
      </c>
    </row>
    <row r="37">
      <c r="A37" s="2" t="inlineStr">
        <is>
          <t>Hamidreza Marvi</t>
        </is>
      </c>
      <c r="B37" s="2" t="inlineStr">
        <is>
          <t>Arizona State University</t>
        </is>
      </c>
      <c r="C37" s="3">
        <f>HYPERLINK("https://search.asu.edu/profile/hmarvi", "https://search.asu.edu/profile/hmarvi")</f>
        <v/>
      </c>
      <c r="D37" s="3">
        <f>HYPERLINK("https://scholar.google.com/citations?hl=en&amp;user=00Fepb0AAAAJ", "Scholar (00Fepb0AAAAJ)")</f>
        <v/>
      </c>
      <c r="E37" s="2" t="inlineStr">
        <is>
          <t>Associate Professor</t>
        </is>
      </c>
      <c r="F37" s="2" t="inlineStr">
        <is>
          <t>Aerospace &amp; Mechanical Engineering</t>
        </is>
      </c>
      <c r="G37" s="2" t="inlineStr">
        <is>
          <t>00Fepb0AAAAJ</t>
        </is>
      </c>
      <c r="H37" s="3">
        <f>HYPERLINK("mailto:hmarvi@asu.edu", "hmarvi@asu.edu")</f>
        <v/>
      </c>
      <c r="I37" s="2" t="n">
        <v>4</v>
      </c>
      <c r="J37" s="2" t="inlineStr">
        <is>
          <t>🔴 Tier 4: Robotics / Controls / Autonomy</t>
        </is>
      </c>
      <c r="K37" s="2" t="n">
        <v>3</v>
      </c>
      <c r="L37" s="2" t="inlineStr">
        <is>
          <t>aerospace, robot, robotics</t>
        </is>
      </c>
      <c r="M37" s="2" t="inlineStr">
        <is>
          <t>Our mission at BIRTH lab is to give “birth” to new technologies inspired by nature. Specifically, we study animal bio-mechanics...</t>
        </is>
      </c>
      <c r="N37" s="2" t="inlineStr"/>
      <c r="O37" s="2" t="inlineStr"/>
      <c r="P37" s="2" t="inlineStr">
        <is>
          <t>MAE 417: System Dynamics and Control II | MAE 598: Special Topics | MAE 547: Modeling and Control of Robots</t>
        </is>
      </c>
      <c r="Q37" s="2" t="inlineStr">
        <is>
          <t>KEEN Professorship, The Kern Family Foundation, 2017. | Peebles Award for Graduate Student Research in Adhesion Science, Adhesion Society, 2015.</t>
        </is>
      </c>
      <c r="R37" s="2" t="inlineStr"/>
      <c r="S37" s="2" t="inlineStr"/>
      <c r="T37" s="2" t="inlineStr"/>
      <c r="U37" s="2" t="inlineStr">
        <is>
          <t>Bio-inspired robotics Soft robotics Magnetic micro-robotics Mechanics of animal locomotion</t>
        </is>
      </c>
      <c r="V37" s="2" t="inlineStr"/>
      <c r="W37" s="2" t="inlineStr">
        <is>
          <t>Marvi would like to develop bio-inspired robotic systems and programmable interfacial structures for search and rescue, exploratory and medical applications.</t>
        </is>
      </c>
      <c r="X37"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Y37" s="2" t="inlineStr">
        <is>
          <t>Bio-Inspired Robotics, Technology, and Healthcare Laboratory (BIRTH Lab)</t>
        </is>
      </c>
      <c r="Z37" s="3">
        <f>HYPERLINK("http://birth.asu.edu", "http://birth.asu.edu")</f>
        <v/>
      </c>
      <c r="AA37" s="2" t="inlineStr"/>
      <c r="AB37" s="2" t="inlineStr"/>
      <c r="AC37" s="2" t="inlineStr"/>
      <c r="AD37" s="2" t="inlineStr"/>
      <c r="AE37" s="2" t="inlineStr"/>
      <c r="AF37" s="2" t="inlineStr">
        <is>
          <t>Latest News</t>
        </is>
      </c>
      <c r="AG37" s="2" t="inlineStr">
        <is>
          <t>Campus: Tempe</t>
        </is>
      </c>
      <c r="AH37" s="2" t="b">
        <v>1</v>
      </c>
      <c r="AI37" s="3">
        <f>HYPERLINK("https://faculty.engineering.asu.edu/directory/semte/aerospace-and-mechanical-engineering/", "https://faculty.engineering.asu.edu/directory/semte/aerospace-and-mechanical-engineering/")</f>
        <v/>
      </c>
    </row>
    <row r="38">
      <c r="A38" s="2" t="inlineStr">
        <is>
          <t>Hyunglae Lee</t>
        </is>
      </c>
      <c r="B38" s="2" t="inlineStr">
        <is>
          <t>Arizona State University</t>
        </is>
      </c>
      <c r="C38" s="3">
        <f>HYPERLINK("https://search.asu.edu/profile/hlee234", "https://search.asu.edu/profile/hlee234")</f>
        <v/>
      </c>
      <c r="D38" s="3">
        <f>HYPERLINK("https://scholar.google.com/citations?view_op=search_authors&amp;mauthors=Hyunglae%20Lee%20Arizona%20State%20University", "Google Scholar Search")</f>
        <v/>
      </c>
      <c r="E38" s="2" t="inlineStr">
        <is>
          <t>Associate Professor</t>
        </is>
      </c>
      <c r="F38" s="2" t="inlineStr">
        <is>
          <t>Aerospace &amp; Mechanical Engineering</t>
        </is>
      </c>
      <c r="G38" s="2" t="inlineStr"/>
      <c r="H38" s="3">
        <f>HYPERLINK("mailto:Hyunglae.Lee@asu.edu", "Hyunglae.Lee@asu.edu")</f>
        <v/>
      </c>
      <c r="I38" s="2" t="n">
        <v>4</v>
      </c>
      <c r="J38" s="2" t="inlineStr">
        <is>
          <t>🔴 Tier 4: Robotics / Controls / Autonomy</t>
        </is>
      </c>
      <c r="K38" s="2" t="n">
        <v>3</v>
      </c>
      <c r="L38" s="2" t="inlineStr">
        <is>
          <t>aerospace, robot, robotics</t>
        </is>
      </c>
      <c r="M38" s="2" t="inlineStr"/>
      <c r="N38" s="2" t="inlineStr"/>
      <c r="O38" s="2" t="inlineStr"/>
      <c r="P38" s="2" t="inlineStr">
        <is>
          <t>MAE 598: Special Topics | MAE 417: System Dynamics and Control II | MAE 593: Applied Project</t>
        </is>
      </c>
      <c r="Q38" s="2" t="inlineStr"/>
      <c r="R38" s="2" t="inlineStr"/>
      <c r="S38" s="2" t="inlineStr"/>
      <c r="T38" s="2" t="inlineStr"/>
      <c r="U38" s="2" t="inlineStr"/>
      <c r="V38" s="2" t="inlineStr"/>
      <c r="W38" s="2" t="inlineStr">
        <is>
          <t>Lee's research interests include physical human-robot interaction, neuromuscular control of human movement, robot-aided neurorehabilitation, bio-inspired robotics and system identification for physiological systems.</t>
        </is>
      </c>
      <c r="X38" s="2" t="inlineStr">
        <is>
          <t>B.S. Mechanical and Aerospace Engineering, Seoul National University (2002) M.S. Mechanical and Aerospace Engineering, Seoul National University (2004) Ph.D Mechanical Engineering, Massachusetts Institute of Technology (2013)</t>
        </is>
      </c>
      <c r="Y38" s="2" t="inlineStr"/>
      <c r="Z38" s="3">
        <f>HYPERLINK("https://faculty.engineering.asu.edu/hlee", "https://faculty.engineering.asu.edu/hlee")</f>
        <v/>
      </c>
      <c r="AA38" s="2" t="inlineStr"/>
      <c r="AB38" s="2" t="inlineStr"/>
      <c r="AC38" s="2" t="inlineStr"/>
      <c r="AD38" s="2" t="inlineStr"/>
      <c r="AE38" s="2" t="inlineStr"/>
      <c r="AF38" s="2" t="inlineStr"/>
      <c r="AG38" s="2" t="inlineStr">
        <is>
          <t>Campus: Tempe</t>
        </is>
      </c>
      <c r="AH38" s="2" t="b">
        <v>1</v>
      </c>
      <c r="AI38" s="3">
        <f>HYPERLINK("https://faculty.engineering.asu.edu/directory/semte/aerospace-and-mechanical-engineering/", "https://faculty.engineering.asu.edu/directory/semte/aerospace-and-mechanical-engineering/")</f>
        <v/>
      </c>
    </row>
    <row r="39">
      <c r="A39" s="2" t="inlineStr">
        <is>
          <t>Huei-Ping Huang</t>
        </is>
      </c>
      <c r="B39" s="2" t="inlineStr">
        <is>
          <t>Arizona State University</t>
        </is>
      </c>
      <c r="C39" s="3">
        <f>HYPERLINK("https://search.asu.edu/profile/hhuang38", "https://search.asu.edu/profile/hhuang38")</f>
        <v/>
      </c>
      <c r="D39" s="3">
        <f>HYPERLINK("https://scholar.google.com/citations?view_op=search_authors&amp;mauthors=Huei-Ping%20Huang%20Arizona%20State%20University", "Google Scholar Search")</f>
        <v/>
      </c>
      <c r="E39" s="2" t="inlineStr">
        <is>
          <t>Associate Professor</t>
        </is>
      </c>
      <c r="F39" s="2" t="inlineStr">
        <is>
          <t>Aerospace &amp; Mechanical Engineering</t>
        </is>
      </c>
      <c r="G39" s="2" t="inlineStr"/>
      <c r="H39" s="3">
        <f>HYPERLINK("mailto:Huei-Ping.Huang@asu.edu", "Huei-Ping.Huang@asu.edu")</f>
        <v/>
      </c>
      <c r="I39" s="2" t="n">
        <v>4</v>
      </c>
      <c r="J39" s="2" t="inlineStr">
        <is>
          <t>🔴 Tier 4: Robotics / Controls / Autonomy</t>
        </is>
      </c>
      <c r="K39" s="2" t="n">
        <v>2</v>
      </c>
      <c r="L39" s="2" t="inlineStr">
        <is>
          <t>aerospace, fluid dynamics</t>
        </is>
      </c>
      <c r="M39" s="2" t="inlineStr"/>
      <c r="N39" s="2" t="inlineStr"/>
      <c r="O39" s="2" t="inlineStr"/>
      <c r="P39" s="2" t="inlineStr">
        <is>
          <t>MAE 502: Partial Diff Equations Engr | MAE 460: Applied Comput Fluid Dynamics | MAE 593: Applied Project</t>
        </is>
      </c>
      <c r="Q39" s="2" t="inlineStr"/>
      <c r="R39" s="2" t="inlineStr"/>
      <c r="S39" s="2" t="inlineStr"/>
      <c r="T39" s="2" t="inlineStr"/>
      <c r="U39" s="2" t="inlineStr"/>
      <c r="V39" s="2" t="inlineStr"/>
      <c r="W39" s="2" t="inlineStr">
        <is>
          <t>Huang's research interests are geophysical and environmental fluid dynamics, numerical simulation of atmospheric and oceanic flows, Earth system remote sensing, and climate change.</t>
        </is>
      </c>
      <c r="X39" s="2" t="inlineStr">
        <is>
          <t>Ph.D. University of Illinois-Urbana-Champaign 1997 | M.S. National Taiwan University 1989 | B.S. National Central University,Taiwan 1987</t>
        </is>
      </c>
      <c r="Y39" s="2" t="inlineStr"/>
      <c r="Z39" s="3">
        <f>HYPERLINK("http://www.public.asu.edu/~hhuang38", "http://www.public.asu.edu/~hhuang38")</f>
        <v/>
      </c>
      <c r="AA39" s="2" t="inlineStr"/>
      <c r="AB39" s="2" t="inlineStr"/>
      <c r="AC39" s="2" t="inlineStr"/>
      <c r="AD39" s="2" t="inlineStr"/>
      <c r="AE39" s="2" t="inlineStr"/>
      <c r="AF39" s="2" t="inlineStr">
        <is>
          <t>Log in to www_public</t>
        </is>
      </c>
      <c r="AG39" s="2" t="inlineStr">
        <is>
          <t>ENGRC 359 (Tempe, AZ 85287-6106)</t>
        </is>
      </c>
      <c r="AH39" s="2" t="b">
        <v>1</v>
      </c>
      <c r="AI39" s="3">
        <f>HYPERLINK("https://faculty.engineering.asu.edu/directory/semte/aerospace-and-mechanical-engineering/", "https://faculty.engineering.asu.edu/directory/semte/aerospace-and-mechanical-engineering/")</f>
        <v/>
      </c>
    </row>
    <row r="40">
      <c r="A40" s="2" t="inlineStr">
        <is>
          <t>Wanxin Jin</t>
        </is>
      </c>
      <c r="B40" s="2" t="inlineStr">
        <is>
          <t>Arizona State University</t>
        </is>
      </c>
      <c r="C40" s="3">
        <f>HYPERLINK("https://search.asu.edu/profile/wjin34", "https://search.asu.edu/profile/wjin34")</f>
        <v/>
      </c>
      <c r="D40" s="3">
        <f>HYPERLINK("https://scholar.google.com/citations?hl=en&amp;user=SoEC4h4AAAAJ", "Scholar (SoEC4h4AAAAJ)")</f>
        <v/>
      </c>
      <c r="E40" s="2" t="inlineStr">
        <is>
          <t>Assistant Professor</t>
        </is>
      </c>
      <c r="F40" s="2" t="inlineStr">
        <is>
          <t>Aerospace &amp; Mechanical Engineering</t>
        </is>
      </c>
      <c r="G40" s="2" t="inlineStr">
        <is>
          <t>SoEC4h4AAAAJ</t>
        </is>
      </c>
      <c r="H40" s="3">
        <f>HYPERLINK("mailto:wjin@asu.edu", "wjin@asu.edu")</f>
        <v/>
      </c>
      <c r="I40" s="2" t="n">
        <v>4</v>
      </c>
      <c r="J40" s="2" t="inlineStr">
        <is>
          <t>🔴 Tier 4: Robotics / Controls / Autonomy</t>
        </is>
      </c>
      <c r="K40" s="2" t="n">
        <v>2</v>
      </c>
      <c r="L40" s="2" t="inlineStr">
        <is>
          <t>robot, robotics</t>
        </is>
      </c>
      <c r="M40" s="2" t="inlineStr">
        <is>
          <t>Below are selected papers that represent our main research threads. Please visit Publications for the full list. Contact-rich i...</t>
        </is>
      </c>
      <c r="N40" s="2" t="inlineStr"/>
      <c r="O40" s="2" t="inlineStr"/>
      <c r="P40" s="2" t="inlineStr">
        <is>
          <t>MAE 301: Applied Experimental Statistic | MAE 593: Applied Project | MAE 547: Modeling and Control of Robots</t>
        </is>
      </c>
      <c r="Q40" s="2" t="inlineStr"/>
      <c r="R40"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S40" s="2" t="inlineStr"/>
      <c r="T40" s="2" t="inlineStr"/>
      <c r="U40" s="2" t="inlineStr">
        <is>
          <t>https://irislab.tech/</t>
        </is>
      </c>
      <c r="V40" s="2" t="inlineStr"/>
      <c r="W40" s="2" t="inlineStr">
        <is>
          <t>Jin's research includes robotics, control and machine learning, with a focus on the autonomy of robots interacting with humans and objects.</t>
        </is>
      </c>
      <c r="X40" s="2" t="inlineStr">
        <is>
          <t>Ph.D., Purdue University 2021 | Master of Science, Harbin Institute of Technology, 2016 | Bachelor of Engineering, Harbin Institute of Technology, 2014</t>
        </is>
      </c>
      <c r="Y40" s="2" t="inlineStr">
        <is>
          <t>Intelligent Robotics and Interactive Systems Lab (IRIS Lab)</t>
        </is>
      </c>
      <c r="Z40" s="3">
        <f>HYPERLINK("https://irislab.tech/", "https://irislab.tech/")</f>
        <v/>
      </c>
      <c r="AA40"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AB40" s="2" t="inlineStr"/>
      <c r="AC40" s="2" t="inlineStr"/>
      <c r="AD40" s="2" t="inlineStr">
        <is>
          <t>NSF</t>
        </is>
      </c>
      <c r="AE40" s="3">
        <f>HYPERLINK("https://github.com/asu-iris", "https://github.com/asu-iris")</f>
        <v/>
      </c>
      <c r="AF40" s="2" t="inlineStr">
        <is>
          <t>Recent Updates</t>
        </is>
      </c>
      <c r="AG40" s="2" t="inlineStr">
        <is>
          <t>Campus: Tempe</t>
        </is>
      </c>
      <c r="AH40" s="2" t="b">
        <v>1</v>
      </c>
      <c r="AI40" s="3">
        <f>HYPERLINK("https://faculty.engineering.asu.edu/directory/semte/aerospace-and-mechanical-engineering/", "https://faculty.engineering.asu.edu/directory/semte/aerospace-and-mechanical-engineering/")</f>
        <v/>
      </c>
    </row>
    <row r="41">
      <c r="A41" s="2" t="inlineStr">
        <is>
          <t>James Middleton</t>
        </is>
      </c>
      <c r="B41" s="2" t="inlineStr">
        <is>
          <t>Arizona State University</t>
        </is>
      </c>
      <c r="C41" s="3">
        <f>HYPERLINK("https://search.asu.edu/profile/jimbo", "https://search.asu.edu/profile/jimbo")</f>
        <v/>
      </c>
      <c r="D41" s="3">
        <f>HYPERLINK("https://scholar.google.com/citations?view_op=search_authors&amp;mauthors=James%20Middleton%20Arizona%20State%20University", "Google Scholar Search")</f>
        <v/>
      </c>
      <c r="E41" s="2" t="inlineStr">
        <is>
          <t>Professor</t>
        </is>
      </c>
      <c r="F41" s="2" t="inlineStr">
        <is>
          <t>Aerospace &amp; Mechanical Engineering</t>
        </is>
      </c>
      <c r="G41" s="2" t="inlineStr"/>
      <c r="H41" s="3">
        <f>HYPERLINK("mailto:jimbo@asu.edu", "jimbo@asu.edu")</f>
        <v/>
      </c>
      <c r="I41" s="2" t="n">
        <v>4</v>
      </c>
      <c r="J41" s="2" t="inlineStr">
        <is>
          <t>🔴 Tier 4: Robotics / Controls / Autonomy</t>
        </is>
      </c>
      <c r="K41" s="2" t="n">
        <v>1</v>
      </c>
      <c r="L41" s="2" t="inlineStr">
        <is>
          <t>aerospace</t>
        </is>
      </c>
      <c r="M41" s="2" t="inlineStr">
        <is>
          <t>Journal Articles Middleton, J. A. (in press). Archimedes, Euler, &amp; Nursing Cats: Rethinking the Arithmetic Mean. OnCore,</t>
        </is>
      </c>
      <c r="N41" s="2" t="inlineStr"/>
      <c r="O41" s="2" t="inlineStr"/>
      <c r="P41" s="2" t="inlineStr">
        <is>
          <t>MAE 484: Internship | MAE 301: Applied Experimental Statistic | MAE 394: Special Topics</t>
        </is>
      </c>
      <c r="Q41" s="2" t="inlineStr"/>
      <c r="R41" s="2" t="inlineStr"/>
      <c r="S41" s="2" t="inlineStr"/>
      <c r="T41" s="2" t="inlineStr"/>
      <c r="U41" s="2" t="inlineStr">
        <is>
          <t>Student learning of mathematical concepts. Motivation and mathematics learning. Teacher change. Applications of technology to mathematics teaching and learning.</t>
        </is>
      </c>
      <c r="V41" s="2" t="inlineStr"/>
      <c r="W41" s="2" t="inlineStr">
        <is>
          <t>Middleton’s research interests focus in the following areas where he has published extensively: children’s mathematical thinking; teacher and student motivation in mathematics; and teacher change in mathematics.</t>
        </is>
      </c>
      <c r="X41" s="2" t="inlineStr">
        <is>
          <t>Ph.D. Educational Psychology, University of Wisconsin-Madison 1992</t>
        </is>
      </c>
      <c r="Y41" s="2" t="inlineStr"/>
      <c r="Z41" s="2" t="inlineStr"/>
      <c r="AA41" s="2" t="inlineStr"/>
      <c r="AB41" s="2" t="inlineStr"/>
      <c r="AC41" s="2" t="inlineStr"/>
      <c r="AD41" s="2" t="inlineStr"/>
      <c r="AE41" s="2" t="inlineStr"/>
      <c r="AF41" s="2" t="inlineStr"/>
      <c r="AG41" s="2" t="inlineStr">
        <is>
          <t>ENGRC 381 (TEMPE, AZ 85287-6106)</t>
        </is>
      </c>
      <c r="AH41" s="2" t="b">
        <v>1</v>
      </c>
      <c r="AI41" s="3">
        <f>HYPERLINK("https://faculty.engineering.asu.edu/directory/semte/aerospace-and-mechanical-engineering/", "https://faculty.engineering.asu.edu/directory/semte/aerospace-and-mechanical-engineering/")</f>
        <v/>
      </c>
    </row>
    <row r="42">
      <c r="A42" s="2" t="inlineStr">
        <is>
          <t>Marc Mignolet</t>
        </is>
      </c>
      <c r="B42" s="2" t="inlineStr">
        <is>
          <t>Arizona State University</t>
        </is>
      </c>
      <c r="C42" s="3">
        <f>HYPERLINK("https://search.asu.edu/profile/marc03", "https://search.asu.edu/profile/marc03")</f>
        <v/>
      </c>
      <c r="D42" s="3">
        <f>HYPERLINK("https://scholar.google.com/citations?view_op=search_authors&amp;mauthors=Marc%20Mignolet%20Arizona%20State%20University", "Google Scholar Search")</f>
        <v/>
      </c>
      <c r="E42" s="2" t="inlineStr">
        <is>
          <t>Professor</t>
        </is>
      </c>
      <c r="F42" s="2" t="inlineStr">
        <is>
          <t>Aerospace &amp; Mechanical Engineering</t>
        </is>
      </c>
      <c r="G42" s="2" t="inlineStr"/>
      <c r="H42" s="3">
        <f>HYPERLINK("mailto:marc.mignolet@asu.edu", "marc.mignolet@asu.edu")</f>
        <v/>
      </c>
      <c r="I42" s="2" t="n">
        <v>4</v>
      </c>
      <c r="J42" s="2" t="inlineStr">
        <is>
          <t>🔴 Tier 4: Robotics / Controls / Autonomy</t>
        </is>
      </c>
      <c r="K42" s="2" t="n">
        <v>1</v>
      </c>
      <c r="L42" s="2" t="inlineStr">
        <is>
          <t>aerospace</t>
        </is>
      </c>
      <c r="M42" s="2" t="inlineStr"/>
      <c r="N42" s="2" t="inlineStr"/>
      <c r="O42" s="2" t="inlineStr"/>
      <c r="P42" s="2" t="inlineStr">
        <is>
          <t>MAE 510: Dynamics and Vibrations | MAE 591: Seminar | MAE 394: Special Topics</t>
        </is>
      </c>
      <c r="Q42" s="2" t="inlineStr"/>
      <c r="R42" s="2" t="inlineStr"/>
      <c r="S42" s="2" t="inlineStr"/>
      <c r="T42" s="2" t="inlineStr"/>
      <c r="U42" s="2" t="inlineStr"/>
      <c r="V42" s="2" t="inlineStr"/>
      <c r="W42" s="2" t="inlineStr">
        <is>
          <t>Mignolet's research interests include structural dynamics, vibrations, modeling of uncertainty in structures and stochastic multiscale analyses.</t>
        </is>
      </c>
      <c r="X42" s="2" t="inlineStr">
        <is>
          <t>Ph.D. Rice University 1987</t>
        </is>
      </c>
      <c r="Y42" s="2" t="inlineStr"/>
      <c r="Z42" s="2" t="inlineStr"/>
      <c r="AA42" s="2" t="inlineStr"/>
      <c r="AB42" s="2" t="inlineStr"/>
      <c r="AC42" s="2" t="inlineStr"/>
      <c r="AD42" s="2" t="inlineStr"/>
      <c r="AE42" s="2" t="inlineStr"/>
      <c r="AF42" s="2" t="inlineStr"/>
      <c r="AG42" s="2" t="inlineStr">
        <is>
          <t>ENGRC 411 (TEMPE, AZ 85287-6106)</t>
        </is>
      </c>
      <c r="AH42" s="2" t="b">
        <v>1</v>
      </c>
      <c r="AI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4</v>
      </c>
      <c r="J43" s="2" t="inlineStr">
        <is>
          <t>🔴 Tier 4: Robotics / Controls / Autonomy</t>
        </is>
      </c>
      <c r="K43" s="2" t="n">
        <v>1</v>
      </c>
      <c r="L43" s="2" t="inlineStr">
        <is>
          <t>aerospace</t>
        </is>
      </c>
      <c r="M43" s="2" t="inlineStr"/>
      <c r="N43" s="2" t="inlineStr"/>
      <c r="O43" s="2" t="inlineStr"/>
      <c r="P43" s="2" t="inlineStr">
        <is>
          <t>MAE 494: Special Topics | MAE 598: Special Topics | MAE 301: Applied Experimental Statistic</t>
        </is>
      </c>
      <c r="Q43" s="2" t="inlineStr"/>
      <c r="R43" s="2" t="inlineStr"/>
      <c r="S43" s="2" t="inlineStr"/>
      <c r="T43" s="2" t="inlineStr"/>
      <c r="U43" s="2" t="inlineStr"/>
      <c r="V43" s="2" t="inlineStr"/>
      <c r="W43" s="2" t="inlineStr">
        <is>
          <t>Ren’s current research interests include optimization, product/configuration design, human-computer interaction and machine learning.</t>
        </is>
      </c>
      <c r="X43" s="2" t="inlineStr">
        <is>
          <t>Ph.D. Mechanical Engineering, University of Michigan 2011 | M.S. Mechanical Engineering, University of Michigan 2009 | B.S. Automative Engineering, Tsinghua University, China 2007</t>
        </is>
      </c>
      <c r="Y43" s="2" t="inlineStr"/>
      <c r="Z43" s="2" t="inlineStr"/>
      <c r="AA43" s="2" t="inlineStr"/>
      <c r="AB43" s="2" t="inlineStr"/>
      <c r="AC43" s="2" t="inlineStr"/>
      <c r="AD43" s="2" t="inlineStr"/>
      <c r="AE43" s="2" t="inlineStr"/>
      <c r="AF43" s="2" t="inlineStr"/>
      <c r="AG43" s="2" t="inlineStr">
        <is>
          <t>GWC 464 (Tempe, AZ 85287-6106)</t>
        </is>
      </c>
      <c r="AH43" s="2" t="b">
        <v>1</v>
      </c>
      <c r="AI43" s="3">
        <f>HYPERLINK("https://faculty.engineering.asu.edu/directory/semte/aerospace-and-mechanical-engineering/", "https://faculty.engineering.asu.edu/directory/semte/aerospace-and-mechanical-engineering/")</f>
        <v/>
      </c>
    </row>
    <row r="44">
      <c r="A44" s="2" t="inlineStr">
        <is>
          <t>Derrick Speaks</t>
        </is>
      </c>
      <c r="B44" s="2" t="inlineStr">
        <is>
          <t>Arizona State University</t>
        </is>
      </c>
      <c r="C44" s="3">
        <f>HYPERLINK("https://search.asu.edu/profile/dspeaks2", "https://search.asu.edu/profile/dspeaks2")</f>
        <v/>
      </c>
      <c r="D44" s="3">
        <f>HYPERLINK("https://scholar.google.com/citations?view_op=search_authors&amp;mauthors=Derrick%20Speaks%20Arizona%20State%20University", "Google Scholar Search")</f>
        <v/>
      </c>
      <c r="E44" s="2" t="inlineStr">
        <is>
          <t>Assistant Teaching Professor</t>
        </is>
      </c>
      <c r="F44" s="2" t="inlineStr">
        <is>
          <t>Aerospace &amp; Mechanical Engineering</t>
        </is>
      </c>
      <c r="G44" s="2" t="inlineStr"/>
      <c r="H44" s="3">
        <f>HYPERLINK("mailto:Derrick.Speaks@asu.edu", "Derrick.Speaks@asu.edu")</f>
        <v/>
      </c>
      <c r="I44" s="2" t="n">
        <v>4</v>
      </c>
      <c r="J44" s="2" t="inlineStr">
        <is>
          <t>🔴 Tier 4: Robotics / Controls / Autonomy</t>
        </is>
      </c>
      <c r="K44" s="2" t="n">
        <v>0</v>
      </c>
      <c r="L44" s="2" t="inlineStr"/>
      <c r="M44" s="2" t="inlineStr"/>
      <c r="N44" s="2" t="inlineStr"/>
      <c r="O44" s="2" t="inlineStr"/>
      <c r="P44" s="2" t="inlineStr">
        <is>
          <t>MAE 242: Intro to Fluid Mechanics | MAE 301: Applied Experimental Statistic | MAE 241: Intro to Thermodynamics</t>
        </is>
      </c>
      <c r="Q44" s="2" t="inlineStr"/>
      <c r="R44" s="2" t="inlineStr"/>
      <c r="S44" s="2" t="inlineStr"/>
      <c r="T44" s="2" t="inlineStr"/>
      <c r="U44" s="2" t="inlineStr"/>
      <c r="V44" s="2" t="inlineStr"/>
      <c r="W44" s="2" t="inlineStr"/>
      <c r="X44" s="2" t="inlineStr"/>
      <c r="Y44" s="2" t="inlineStr"/>
      <c r="Z44" s="2" t="inlineStr"/>
      <c r="AA44" s="2" t="inlineStr"/>
      <c r="AB44" s="2" t="inlineStr"/>
      <c r="AC44" s="2" t="inlineStr"/>
      <c r="AD44" s="2" t="inlineStr"/>
      <c r="AE44" s="2" t="inlineStr"/>
      <c r="AF44" s="2" t="inlineStr"/>
      <c r="AG44" s="2" t="inlineStr">
        <is>
          <t>Campus: Tempe</t>
        </is>
      </c>
      <c r="AH44" s="2" t="b">
        <v>0</v>
      </c>
      <c r="AI44" s="3">
        <f>HYPERLINK("https://faculty.engineering.asu.edu/directory/semte/aerospace-and-mechanical-engineering/", "https://faculty.engineering.asu.edu/directory/semte/aerospace-and-mechanical-engineering/")</f>
        <v/>
      </c>
    </row>
    <row r="45">
      <c r="A45" s="2" t="inlineStr">
        <is>
          <t>Erik Andersen</t>
        </is>
      </c>
      <c r="B45" s="2" t="inlineStr">
        <is>
          <t>Arizona State University</t>
        </is>
      </c>
      <c r="C45" s="3">
        <f>HYPERLINK("https://search.asu.edu/profile/ejande22", "https://search.asu.edu/profile/ejande22")</f>
        <v/>
      </c>
      <c r="D45" s="3">
        <f>HYPERLINK("https://scholar.google.com/citations?view_op=search_authors&amp;mauthors=Erik%20Andersen%20Arizona%20State%20University", "Google Scholar Search")</f>
        <v/>
      </c>
      <c r="E45" s="2" t="inlineStr">
        <is>
          <t>Professor</t>
        </is>
      </c>
      <c r="F45" s="2" t="inlineStr">
        <is>
          <t>Aerospace &amp; Mechanical Engineering</t>
        </is>
      </c>
      <c r="G45" s="2" t="inlineStr"/>
      <c r="H45" s="3">
        <f>HYPERLINK("mailto:Erik.J.Andersen@asu.edu", "Erik.J.Andersen@asu.edu")</f>
        <v/>
      </c>
      <c r="I45" s="2" t="n">
        <v>4</v>
      </c>
      <c r="J45" s="2" t="inlineStr">
        <is>
          <t>🔴 Tier 4: Robotics / Controls / Autonomy</t>
        </is>
      </c>
      <c r="K45" s="2" t="n">
        <v>0</v>
      </c>
      <c r="L45" s="2" t="inlineStr"/>
      <c r="M45" s="2" t="inlineStr"/>
      <c r="N45" s="2" t="inlineStr"/>
      <c r="O45" s="2" t="inlineStr"/>
      <c r="P45" s="2" t="inlineStr">
        <is>
          <t>MAE 301: Applied Experimental Statistic | MAE 202: Mech.Particles/Rigid Bodies II | MAE 417: System Dynamics and Control II</t>
        </is>
      </c>
      <c r="Q45" s="2" t="inlineStr"/>
      <c r="R45" s="2" t="inlineStr"/>
      <c r="S45" s="2" t="inlineStr"/>
      <c r="T45" s="2" t="inlineStr"/>
      <c r="U45" s="2" t="inlineStr"/>
      <c r="V45" s="2" t="inlineStr"/>
      <c r="W45" s="2" t="inlineStr"/>
      <c r="X45" s="2" t="inlineStr">
        <is>
          <t>Ph.D. in Mechanical Engineering 2022 - University of Utah B.S./M.S.in Mechanical Engineering 2018 - University of Utah</t>
        </is>
      </c>
      <c r="Y45" s="2" t="inlineStr"/>
      <c r="Z45" s="2" t="inlineStr"/>
      <c r="AA45" s="2" t="inlineStr"/>
      <c r="AB45" s="2" t="inlineStr"/>
      <c r="AC45" s="2" t="inlineStr"/>
      <c r="AD45" s="2" t="inlineStr"/>
      <c r="AE45" s="2" t="inlineStr"/>
      <c r="AF45" s="2" t="inlineStr"/>
      <c r="AG45" s="2" t="inlineStr">
        <is>
          <t>Campus: Otherus</t>
        </is>
      </c>
      <c r="AH45" s="2" t="b">
        <v>0</v>
      </c>
      <c r="AI45" s="3">
        <f>HYPERLINK("https://faculty.engineering.asu.edu/directory/semte/aerospace-and-mechanical-engineering/", "https://faculty.engineering.asu.edu/directory/semte/aerospace-and-mechanical-engineering/")</f>
        <v/>
      </c>
    </row>
    <row r="46">
      <c r="A46" s="2" t="inlineStr">
        <is>
          <t>Ivy Chang</t>
        </is>
      </c>
      <c r="B46" s="2" t="inlineStr">
        <is>
          <t>Arizona State University</t>
        </is>
      </c>
      <c r="C46" s="3">
        <f>HYPERLINK("https://search.asu.edu/profile/iychang", "https://search.asu.edu/profile/iychang")</f>
        <v/>
      </c>
      <c r="D46" s="3">
        <f>HYPERLINK("https://scholar.google.com/citations?view_op=search_authors&amp;mauthors=Ivy%20Chang%20Arizona%20State%20University", "Google Scholar Search")</f>
        <v/>
      </c>
      <c r="E46" s="2" t="inlineStr">
        <is>
          <t>Assistant Teaching Professor</t>
        </is>
      </c>
      <c r="F46" s="2" t="inlineStr">
        <is>
          <t>Aerospace &amp; Mechanical Engineering</t>
        </is>
      </c>
      <c r="G46" s="2" t="inlineStr"/>
      <c r="H46" s="3">
        <f>HYPERLINK("mailto:Ivy.Chang@asu.edu", "Ivy.Chang@asu.edu")</f>
        <v/>
      </c>
      <c r="I46" s="2" t="n">
        <v>4</v>
      </c>
      <c r="J46" s="2" t="inlineStr">
        <is>
          <t>🔴 Tier 4: Robotics / Controls / Autonomy</t>
        </is>
      </c>
      <c r="K46" s="2" t="n">
        <v>0</v>
      </c>
      <c r="L46" s="2" t="inlineStr"/>
      <c r="M46" s="2" t="inlineStr"/>
      <c r="N46" s="2" t="inlineStr"/>
      <c r="O46" s="2" t="inlineStr"/>
      <c r="P46" s="2" t="inlineStr">
        <is>
          <t>MAE 318: System Dynamics and Control I | MAE 417: System Dynamics and Control II | MAE 215: Intro to Programming in MATLAB</t>
        </is>
      </c>
      <c r="Q46" s="2" t="inlineStr"/>
      <c r="R46" s="2" t="inlineStr"/>
      <c r="S46" s="2" t="inlineStr"/>
      <c r="T46" s="2" t="inlineStr"/>
      <c r="U46" s="2" t="inlineStr"/>
      <c r="V46" s="2" t="inlineStr"/>
      <c r="W46" s="2" t="inlineStr"/>
      <c r="X46" s="2" t="inlineStr"/>
      <c r="Y46" s="2" t="inlineStr"/>
      <c r="Z46" s="2" t="inlineStr"/>
      <c r="AA46" s="2" t="inlineStr"/>
      <c r="AB46" s="2" t="inlineStr"/>
      <c r="AC46" s="2" t="inlineStr"/>
      <c r="AD46" s="2" t="inlineStr"/>
      <c r="AE46" s="2" t="inlineStr"/>
      <c r="AF46" s="2" t="inlineStr"/>
      <c r="AG46" s="2" t="inlineStr">
        <is>
          <t>Campus: Tempe</t>
        </is>
      </c>
      <c r="AH46" s="2" t="b">
        <v>0</v>
      </c>
      <c r="AI46" s="3">
        <f>HYPERLINK("https://faculty.engineering.asu.edu/directory/semte/aerospace-and-mechanical-engineering/", "https://faculty.engineering.asu.edu/directory/semte/aerospace-and-mechanical-engineering/")</f>
        <v/>
      </c>
    </row>
    <row r="47">
      <c r="A47" s="2" t="inlineStr">
        <is>
          <t>Joshua Wilbur</t>
        </is>
      </c>
      <c r="B47" s="2" t="inlineStr">
        <is>
          <t>Arizona State University</t>
        </is>
      </c>
      <c r="C47" s="3">
        <f>HYPERLINK("https://search.asu.edu/profile/jdwilbu1", "https://search.asu.edu/profile/jdwilbu1")</f>
        <v/>
      </c>
      <c r="D47" s="3">
        <f>HYPERLINK("https://scholar.google.com/citations?view_op=search_authors&amp;mauthors=Joshua%20Wilbur%20Arizona%20State%20University", "Google Scholar Search")</f>
        <v/>
      </c>
      <c r="E47" s="2" t="inlineStr">
        <is>
          <t>Associate Teaching Professor</t>
        </is>
      </c>
      <c r="F47" s="2" t="inlineStr">
        <is>
          <t>Aerospace &amp; Mechanical Engineering</t>
        </is>
      </c>
      <c r="G47" s="2" t="inlineStr"/>
      <c r="H47" s="3">
        <f>HYPERLINK("mailto:Joshua.Wilbur@asu.edu", "Joshua.Wilbur@asu.edu")</f>
        <v/>
      </c>
      <c r="I47" s="2" t="n">
        <v>4</v>
      </c>
      <c r="J47" s="2" t="inlineStr">
        <is>
          <t>🔴 Tier 4: Robotics / Controls / Autonomy</t>
        </is>
      </c>
      <c r="K47" s="2" t="n">
        <v>0</v>
      </c>
      <c r="L47" s="2" t="inlineStr"/>
      <c r="M47" s="2" t="inlineStr"/>
      <c r="N47" s="2" t="inlineStr"/>
      <c r="O47" s="2" t="inlineStr"/>
      <c r="P47" s="2" t="inlineStr">
        <is>
          <t>MAE 241: Intro to Thermodynamics | MAE 215: Intro to Programming in MATLAB | MAE 384: Adv Math Methods for Engineers</t>
        </is>
      </c>
      <c r="Q47" s="2" t="inlineStr"/>
      <c r="R47" s="2" t="inlineStr"/>
      <c r="S47" s="2" t="inlineStr"/>
      <c r="T47" s="2" t="inlineStr"/>
      <c r="U47" s="2" t="inlineStr"/>
      <c r="V47" s="2" t="inlineStr"/>
      <c r="W47" s="2" t="inlineStr"/>
      <c r="X47" s="2" t="inlineStr"/>
      <c r="Y47" s="2" t="inlineStr"/>
      <c r="Z47" s="2" t="inlineStr"/>
      <c r="AA47" s="2" t="inlineStr"/>
      <c r="AB47" s="2" t="inlineStr"/>
      <c r="AC47" s="2" t="inlineStr"/>
      <c r="AD47" s="2" t="inlineStr"/>
      <c r="AE47" s="2" t="inlineStr"/>
      <c r="AF47" s="2" t="inlineStr"/>
      <c r="AG47" s="2" t="inlineStr">
        <is>
          <t>Campus: Tempe</t>
        </is>
      </c>
      <c r="AH47" s="2" t="b">
        <v>0</v>
      </c>
      <c r="AI47" s="3">
        <f>HYPERLINK("https://faculty.engineering.asu.edu/directory/semte/aerospace-and-mechanical-engineering/", "https://faculty.engineering.asu.edu/directory/semte/aerospace-and-mechanical-engineering/")</f>
        <v/>
      </c>
    </row>
    <row r="48">
      <c r="A48" s="2" t="inlineStr">
        <is>
          <t>Ricardo Cruz Lozano</t>
        </is>
      </c>
      <c r="B48" s="2" t="inlineStr">
        <is>
          <t>Arizona State University</t>
        </is>
      </c>
      <c r="C48" s="3">
        <f>HYPERLINK("https://search.asu.edu/profile/rcruzloz", "https://search.asu.edu/profile/rcruzloz")</f>
        <v/>
      </c>
      <c r="D48" s="3">
        <f>HYPERLINK("https://scholar.google.com/citations?view_op=search_authors&amp;mauthors=Ricardo%20Cruz%20Lozano%20Arizona%20State%20University", "Google Scholar Search")</f>
        <v/>
      </c>
      <c r="E48" s="2" t="inlineStr">
        <is>
          <t>Assistant Teaching Professor</t>
        </is>
      </c>
      <c r="F48" s="2" t="inlineStr">
        <is>
          <t>Aerospace &amp; Mechanical Engineering</t>
        </is>
      </c>
      <c r="G48" s="2" t="inlineStr"/>
      <c r="H48" s="3">
        <f>HYPERLINK("mailto:Ricardo.Cruz.Lozano@asu.edu", "Ricardo.Cruz.Lozano@asu.edu")</f>
        <v/>
      </c>
      <c r="I48" s="2" t="n">
        <v>4</v>
      </c>
      <c r="J48" s="2" t="inlineStr">
        <is>
          <t>🔴 Tier 4: Robotics / Controls / Autonomy</t>
        </is>
      </c>
      <c r="K48" s="2" t="n">
        <v>0</v>
      </c>
      <c r="L48" s="2" t="inlineStr"/>
      <c r="M48" s="2" t="inlineStr"/>
      <c r="N48" s="2" t="inlineStr"/>
      <c r="O48" s="2" t="inlineStr"/>
      <c r="P48" s="2" t="inlineStr">
        <is>
          <t>MAE 201: Mech. Particles/Rigid Bodies I | MAE 214: Computer-Aided Engineering I | MAE 202: Mech.Particles/Rigid Bodies II</t>
        </is>
      </c>
      <c r="Q48" s="2" t="inlineStr"/>
      <c r="R48" s="2" t="inlineStr"/>
      <c r="S48" s="2" t="inlineStr"/>
      <c r="T48" s="2" t="inlineStr"/>
      <c r="U48" s="2" t="inlineStr"/>
      <c r="V48" s="2" t="inlineStr"/>
      <c r="W48" s="2" t="inlineStr"/>
      <c r="X48" s="2" t="inlineStr"/>
      <c r="Y48" s="2" t="inlineStr"/>
      <c r="Z48" s="2" t="inlineStr"/>
      <c r="AA48" s="2" t="inlineStr"/>
      <c r="AB48" s="2" t="inlineStr"/>
      <c r="AC48" s="2" t="inlineStr"/>
      <c r="AD48" s="2" t="inlineStr"/>
      <c r="AE48" s="2" t="inlineStr"/>
      <c r="AF48" s="2" t="inlineStr"/>
      <c r="AG48" s="2" t="inlineStr">
        <is>
          <t>Campus: Tempe</t>
        </is>
      </c>
      <c r="AH48" s="2" t="b">
        <v>0</v>
      </c>
      <c r="AI48" s="3">
        <f>HYPERLINK("https://faculty.engineering.asu.edu/directory/semte/aerospace-and-mechanical-engineering/", "https://faculty.engineering.asu.edu/directory/semte/aerospace-and-mechanical-engineering/")</f>
        <v/>
      </c>
    </row>
    <row r="49">
      <c r="A49" s="2" t="inlineStr">
        <is>
          <t>Srinivas Chakravarthi Kosaraju</t>
        </is>
      </c>
      <c r="B49" s="2" t="inlineStr">
        <is>
          <t>Arizona State University</t>
        </is>
      </c>
      <c r="C49" s="3">
        <f>HYPERLINK("https://search.asu.edu/profile/skosara2", "https://search.asu.edu/profile/skosara2")</f>
        <v/>
      </c>
      <c r="D49" s="3">
        <f>HYPERLINK("https://scholar.google.com/citations?view_op=search_authors&amp;mauthors=Srinivas%20Chakravarthi%20Kosaraju%20Arizona%20State%20University", "Google Scholar Search")</f>
        <v/>
      </c>
      <c r="E49" s="2" t="inlineStr">
        <is>
          <t>Teaching Professor</t>
        </is>
      </c>
      <c r="F49" s="2" t="inlineStr">
        <is>
          <t>Aerospace &amp; Mechanical Engineering</t>
        </is>
      </c>
      <c r="G49" s="2" t="inlineStr"/>
      <c r="H49" s="3">
        <f>HYPERLINK("mailto:Srinivas.Kosaraju@asu.edu", "Srinivas.Kosaraju@asu.edu")</f>
        <v/>
      </c>
      <c r="I49" s="2" t="n">
        <v>4</v>
      </c>
      <c r="J49" s="2" t="inlineStr">
        <is>
          <t>🔴 Tier 4: Robotics / Controls / Autonomy</t>
        </is>
      </c>
      <c r="K49" s="2" t="n">
        <v>0</v>
      </c>
      <c r="L49" s="2" t="inlineStr"/>
      <c r="M49" s="2" t="inlineStr"/>
      <c r="N49" s="2" t="inlineStr"/>
      <c r="O49" s="2" t="inlineStr"/>
      <c r="P49" s="2" t="inlineStr">
        <is>
          <t>MAE 570: Intermediate Thermodynamics | MAE 400: Engineering Profession | MAE 494: Special Topics</t>
        </is>
      </c>
      <c r="Q49" s="2" t="inlineStr"/>
      <c r="R49" s="2" t="inlineStr"/>
      <c r="S49" s="2" t="inlineStr"/>
      <c r="T49" s="2" t="inlineStr"/>
      <c r="U49" s="2" t="inlineStr"/>
      <c r="V49" s="2" t="inlineStr"/>
      <c r="W49" s="2" t="inlineStr"/>
      <c r="X49" s="2" t="inlineStr"/>
      <c r="Y49" s="2" t="inlineStr"/>
      <c r="Z49" s="2" t="inlineStr"/>
      <c r="AA49" s="2" t="inlineStr"/>
      <c r="AB49" s="2" t="inlineStr"/>
      <c r="AC49" s="2" t="inlineStr"/>
      <c r="AD49" s="2" t="inlineStr"/>
      <c r="AE49" s="2" t="inlineStr"/>
      <c r="AF49" s="2" t="inlineStr"/>
      <c r="AG49" s="2" t="inlineStr">
        <is>
          <t>Campus: Tempe</t>
        </is>
      </c>
      <c r="AH49" s="2" t="b">
        <v>0</v>
      </c>
      <c r="AI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Z2" r:id="rId4"/>
    <hyperlink xmlns:r="http://schemas.openxmlformats.org/officeDocument/2006/relationships" ref="AE2" r:id="rId5"/>
    <hyperlink xmlns:r="http://schemas.openxmlformats.org/officeDocument/2006/relationships" ref="AI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AI3" r:id="rId10"/>
    <hyperlink xmlns:r="http://schemas.openxmlformats.org/officeDocument/2006/relationships" ref="C4" r:id="rId11"/>
    <hyperlink xmlns:r="http://schemas.openxmlformats.org/officeDocument/2006/relationships" ref="D4" r:id="rId12"/>
    <hyperlink xmlns:r="http://schemas.openxmlformats.org/officeDocument/2006/relationships" ref="H4" r:id="rId13"/>
    <hyperlink xmlns:r="http://schemas.openxmlformats.org/officeDocument/2006/relationships" ref="AI4" r:id="rId14"/>
    <hyperlink xmlns:r="http://schemas.openxmlformats.org/officeDocument/2006/relationships" ref="C5" r:id="rId15"/>
    <hyperlink xmlns:r="http://schemas.openxmlformats.org/officeDocument/2006/relationships" ref="D5" r:id="rId16"/>
    <hyperlink xmlns:r="http://schemas.openxmlformats.org/officeDocument/2006/relationships" ref="H5" r:id="rId17"/>
    <hyperlink xmlns:r="http://schemas.openxmlformats.org/officeDocument/2006/relationships" ref="Z5" r:id="rId18"/>
    <hyperlink xmlns:r="http://schemas.openxmlformats.org/officeDocument/2006/relationships" ref="AI5" r:id="rId19"/>
    <hyperlink xmlns:r="http://schemas.openxmlformats.org/officeDocument/2006/relationships" ref="C6" r:id="rId20"/>
    <hyperlink xmlns:r="http://schemas.openxmlformats.org/officeDocument/2006/relationships" ref="D6" r:id="rId21"/>
    <hyperlink xmlns:r="http://schemas.openxmlformats.org/officeDocument/2006/relationships" ref="H6" r:id="rId22"/>
    <hyperlink xmlns:r="http://schemas.openxmlformats.org/officeDocument/2006/relationships" ref="Z6" r:id="rId23"/>
    <hyperlink xmlns:r="http://schemas.openxmlformats.org/officeDocument/2006/relationships" ref="AI6" r:id="rId24"/>
    <hyperlink xmlns:r="http://schemas.openxmlformats.org/officeDocument/2006/relationships" ref="C7" r:id="rId25"/>
    <hyperlink xmlns:r="http://schemas.openxmlformats.org/officeDocument/2006/relationships" ref="D7" r:id="rId26"/>
    <hyperlink xmlns:r="http://schemas.openxmlformats.org/officeDocument/2006/relationships" ref="H7" r:id="rId27"/>
    <hyperlink xmlns:r="http://schemas.openxmlformats.org/officeDocument/2006/relationships" ref="AI7" r:id="rId28"/>
    <hyperlink xmlns:r="http://schemas.openxmlformats.org/officeDocument/2006/relationships" ref="C8" r:id="rId29"/>
    <hyperlink xmlns:r="http://schemas.openxmlformats.org/officeDocument/2006/relationships" ref="D8" r:id="rId30"/>
    <hyperlink xmlns:r="http://schemas.openxmlformats.org/officeDocument/2006/relationships" ref="H8" r:id="rId31"/>
    <hyperlink xmlns:r="http://schemas.openxmlformats.org/officeDocument/2006/relationships" ref="AI8" r:id="rId32"/>
    <hyperlink xmlns:r="http://schemas.openxmlformats.org/officeDocument/2006/relationships" ref="C9" r:id="rId33"/>
    <hyperlink xmlns:r="http://schemas.openxmlformats.org/officeDocument/2006/relationships" ref="D9" r:id="rId34"/>
    <hyperlink xmlns:r="http://schemas.openxmlformats.org/officeDocument/2006/relationships" ref="H9" r:id="rId35"/>
    <hyperlink xmlns:r="http://schemas.openxmlformats.org/officeDocument/2006/relationships" ref="Z9" r:id="rId36"/>
    <hyperlink xmlns:r="http://schemas.openxmlformats.org/officeDocument/2006/relationships" ref="AI9" r:id="rId37"/>
    <hyperlink xmlns:r="http://schemas.openxmlformats.org/officeDocument/2006/relationships" ref="C10" r:id="rId38"/>
    <hyperlink xmlns:r="http://schemas.openxmlformats.org/officeDocument/2006/relationships" ref="D10" r:id="rId39"/>
    <hyperlink xmlns:r="http://schemas.openxmlformats.org/officeDocument/2006/relationships" ref="H10" r:id="rId40"/>
    <hyperlink xmlns:r="http://schemas.openxmlformats.org/officeDocument/2006/relationships" ref="AI10" r:id="rId41"/>
    <hyperlink xmlns:r="http://schemas.openxmlformats.org/officeDocument/2006/relationships" ref="C11" r:id="rId42"/>
    <hyperlink xmlns:r="http://schemas.openxmlformats.org/officeDocument/2006/relationships" ref="D11" r:id="rId43"/>
    <hyperlink xmlns:r="http://schemas.openxmlformats.org/officeDocument/2006/relationships" ref="H11" r:id="rId44"/>
    <hyperlink xmlns:r="http://schemas.openxmlformats.org/officeDocument/2006/relationships" ref="Z11" r:id="rId45"/>
    <hyperlink xmlns:r="http://schemas.openxmlformats.org/officeDocument/2006/relationships" ref="AI11" r:id="rId46"/>
    <hyperlink xmlns:r="http://schemas.openxmlformats.org/officeDocument/2006/relationships" ref="C12" r:id="rId47"/>
    <hyperlink xmlns:r="http://schemas.openxmlformats.org/officeDocument/2006/relationships" ref="D12" r:id="rId48"/>
    <hyperlink xmlns:r="http://schemas.openxmlformats.org/officeDocument/2006/relationships" ref="H12" r:id="rId49"/>
    <hyperlink xmlns:r="http://schemas.openxmlformats.org/officeDocument/2006/relationships" ref="Z12" r:id="rId50"/>
    <hyperlink xmlns:r="http://schemas.openxmlformats.org/officeDocument/2006/relationships" ref="AI12" r:id="rId51"/>
    <hyperlink xmlns:r="http://schemas.openxmlformats.org/officeDocument/2006/relationships" ref="C13" r:id="rId52"/>
    <hyperlink xmlns:r="http://schemas.openxmlformats.org/officeDocument/2006/relationships" ref="D13" r:id="rId53"/>
    <hyperlink xmlns:r="http://schemas.openxmlformats.org/officeDocument/2006/relationships" ref="H13" r:id="rId54"/>
    <hyperlink xmlns:r="http://schemas.openxmlformats.org/officeDocument/2006/relationships" ref="Z13" r:id="rId55"/>
    <hyperlink xmlns:r="http://schemas.openxmlformats.org/officeDocument/2006/relationships" ref="AI13" r:id="rId56"/>
    <hyperlink xmlns:r="http://schemas.openxmlformats.org/officeDocument/2006/relationships" ref="C14" r:id="rId57"/>
    <hyperlink xmlns:r="http://schemas.openxmlformats.org/officeDocument/2006/relationships" ref="D14" r:id="rId58"/>
    <hyperlink xmlns:r="http://schemas.openxmlformats.org/officeDocument/2006/relationships" ref="H14" r:id="rId59"/>
    <hyperlink xmlns:r="http://schemas.openxmlformats.org/officeDocument/2006/relationships" ref="Z14" r:id="rId60"/>
    <hyperlink xmlns:r="http://schemas.openxmlformats.org/officeDocument/2006/relationships" ref="AI14" r:id="rId61"/>
    <hyperlink xmlns:r="http://schemas.openxmlformats.org/officeDocument/2006/relationships" ref="C15" r:id="rId62"/>
    <hyperlink xmlns:r="http://schemas.openxmlformats.org/officeDocument/2006/relationships" ref="D15" r:id="rId63"/>
    <hyperlink xmlns:r="http://schemas.openxmlformats.org/officeDocument/2006/relationships" ref="H15" r:id="rId64"/>
    <hyperlink xmlns:r="http://schemas.openxmlformats.org/officeDocument/2006/relationships" ref="AI15" r:id="rId65"/>
    <hyperlink xmlns:r="http://schemas.openxmlformats.org/officeDocument/2006/relationships" ref="C16" r:id="rId66"/>
    <hyperlink xmlns:r="http://schemas.openxmlformats.org/officeDocument/2006/relationships" ref="D16" r:id="rId67"/>
    <hyperlink xmlns:r="http://schemas.openxmlformats.org/officeDocument/2006/relationships" ref="H16" r:id="rId68"/>
    <hyperlink xmlns:r="http://schemas.openxmlformats.org/officeDocument/2006/relationships" ref="AI16" r:id="rId69"/>
    <hyperlink xmlns:r="http://schemas.openxmlformats.org/officeDocument/2006/relationships" ref="C17" r:id="rId70"/>
    <hyperlink xmlns:r="http://schemas.openxmlformats.org/officeDocument/2006/relationships" ref="D17" r:id="rId71"/>
    <hyperlink xmlns:r="http://schemas.openxmlformats.org/officeDocument/2006/relationships" ref="H17" r:id="rId72"/>
    <hyperlink xmlns:r="http://schemas.openxmlformats.org/officeDocument/2006/relationships" ref="Z17" r:id="rId73"/>
    <hyperlink xmlns:r="http://schemas.openxmlformats.org/officeDocument/2006/relationships" ref="AI17" r:id="rId74"/>
    <hyperlink xmlns:r="http://schemas.openxmlformats.org/officeDocument/2006/relationships" ref="C18" r:id="rId75"/>
    <hyperlink xmlns:r="http://schemas.openxmlformats.org/officeDocument/2006/relationships" ref="D18" r:id="rId76"/>
    <hyperlink xmlns:r="http://schemas.openxmlformats.org/officeDocument/2006/relationships" ref="H18" r:id="rId77"/>
    <hyperlink xmlns:r="http://schemas.openxmlformats.org/officeDocument/2006/relationships" ref="AI18" r:id="rId78"/>
    <hyperlink xmlns:r="http://schemas.openxmlformats.org/officeDocument/2006/relationships" ref="C19" r:id="rId79"/>
    <hyperlink xmlns:r="http://schemas.openxmlformats.org/officeDocument/2006/relationships" ref="D19" r:id="rId80"/>
    <hyperlink xmlns:r="http://schemas.openxmlformats.org/officeDocument/2006/relationships" ref="H19" r:id="rId81"/>
    <hyperlink xmlns:r="http://schemas.openxmlformats.org/officeDocument/2006/relationships" ref="Z19" r:id="rId82"/>
    <hyperlink xmlns:r="http://schemas.openxmlformats.org/officeDocument/2006/relationships" ref="AI19" r:id="rId83"/>
    <hyperlink xmlns:r="http://schemas.openxmlformats.org/officeDocument/2006/relationships" ref="C20" r:id="rId84"/>
    <hyperlink xmlns:r="http://schemas.openxmlformats.org/officeDocument/2006/relationships" ref="D20" r:id="rId85"/>
    <hyperlink xmlns:r="http://schemas.openxmlformats.org/officeDocument/2006/relationships" ref="H20" r:id="rId86"/>
    <hyperlink xmlns:r="http://schemas.openxmlformats.org/officeDocument/2006/relationships" ref="Z20" r:id="rId87"/>
    <hyperlink xmlns:r="http://schemas.openxmlformats.org/officeDocument/2006/relationships" ref="AI20" r:id="rId88"/>
    <hyperlink xmlns:r="http://schemas.openxmlformats.org/officeDocument/2006/relationships" ref="C21" r:id="rId89"/>
    <hyperlink xmlns:r="http://schemas.openxmlformats.org/officeDocument/2006/relationships" ref="D21" r:id="rId90"/>
    <hyperlink xmlns:r="http://schemas.openxmlformats.org/officeDocument/2006/relationships" ref="H21" r:id="rId91"/>
    <hyperlink xmlns:r="http://schemas.openxmlformats.org/officeDocument/2006/relationships" ref="AI21" r:id="rId92"/>
    <hyperlink xmlns:r="http://schemas.openxmlformats.org/officeDocument/2006/relationships" ref="C22" r:id="rId93"/>
    <hyperlink xmlns:r="http://schemas.openxmlformats.org/officeDocument/2006/relationships" ref="D22" r:id="rId94"/>
    <hyperlink xmlns:r="http://schemas.openxmlformats.org/officeDocument/2006/relationships" ref="H22" r:id="rId95"/>
    <hyperlink xmlns:r="http://schemas.openxmlformats.org/officeDocument/2006/relationships" ref="Z22" r:id="rId96"/>
    <hyperlink xmlns:r="http://schemas.openxmlformats.org/officeDocument/2006/relationships" ref="AI22" r:id="rId97"/>
    <hyperlink xmlns:r="http://schemas.openxmlformats.org/officeDocument/2006/relationships" ref="C23" r:id="rId98"/>
    <hyperlink xmlns:r="http://schemas.openxmlformats.org/officeDocument/2006/relationships" ref="D23" r:id="rId99"/>
    <hyperlink xmlns:r="http://schemas.openxmlformats.org/officeDocument/2006/relationships" ref="H23" r:id="rId100"/>
    <hyperlink xmlns:r="http://schemas.openxmlformats.org/officeDocument/2006/relationships" ref="AI23" r:id="rId101"/>
    <hyperlink xmlns:r="http://schemas.openxmlformats.org/officeDocument/2006/relationships" ref="C24" r:id="rId102"/>
    <hyperlink xmlns:r="http://schemas.openxmlformats.org/officeDocument/2006/relationships" ref="D24" r:id="rId103"/>
    <hyperlink xmlns:r="http://schemas.openxmlformats.org/officeDocument/2006/relationships" ref="H24" r:id="rId104"/>
    <hyperlink xmlns:r="http://schemas.openxmlformats.org/officeDocument/2006/relationships" ref="Z24" r:id="rId105"/>
    <hyperlink xmlns:r="http://schemas.openxmlformats.org/officeDocument/2006/relationships" ref="AI24" r:id="rId106"/>
    <hyperlink xmlns:r="http://schemas.openxmlformats.org/officeDocument/2006/relationships" ref="C25" r:id="rId107"/>
    <hyperlink xmlns:r="http://schemas.openxmlformats.org/officeDocument/2006/relationships" ref="D25" r:id="rId108"/>
    <hyperlink xmlns:r="http://schemas.openxmlformats.org/officeDocument/2006/relationships" ref="H25" r:id="rId109"/>
    <hyperlink xmlns:r="http://schemas.openxmlformats.org/officeDocument/2006/relationships" ref="AI25" r:id="rId110"/>
    <hyperlink xmlns:r="http://schemas.openxmlformats.org/officeDocument/2006/relationships" ref="C26" r:id="rId111"/>
    <hyperlink xmlns:r="http://schemas.openxmlformats.org/officeDocument/2006/relationships" ref="D26" r:id="rId112"/>
    <hyperlink xmlns:r="http://schemas.openxmlformats.org/officeDocument/2006/relationships" ref="H26" r:id="rId113"/>
    <hyperlink xmlns:r="http://schemas.openxmlformats.org/officeDocument/2006/relationships" ref="Z26" r:id="rId114"/>
    <hyperlink xmlns:r="http://schemas.openxmlformats.org/officeDocument/2006/relationships" ref="AI26" r:id="rId115"/>
    <hyperlink xmlns:r="http://schemas.openxmlformats.org/officeDocument/2006/relationships" ref="C27" r:id="rId116"/>
    <hyperlink xmlns:r="http://schemas.openxmlformats.org/officeDocument/2006/relationships" ref="D27" r:id="rId117"/>
    <hyperlink xmlns:r="http://schemas.openxmlformats.org/officeDocument/2006/relationships" ref="H27" r:id="rId118"/>
    <hyperlink xmlns:r="http://schemas.openxmlformats.org/officeDocument/2006/relationships" ref="AI27" r:id="rId119"/>
    <hyperlink xmlns:r="http://schemas.openxmlformats.org/officeDocument/2006/relationships" ref="C28" r:id="rId120"/>
    <hyperlink xmlns:r="http://schemas.openxmlformats.org/officeDocument/2006/relationships" ref="D28" r:id="rId121"/>
    <hyperlink xmlns:r="http://schemas.openxmlformats.org/officeDocument/2006/relationships" ref="H28" r:id="rId122"/>
    <hyperlink xmlns:r="http://schemas.openxmlformats.org/officeDocument/2006/relationships" ref="Z28" r:id="rId123"/>
    <hyperlink xmlns:r="http://schemas.openxmlformats.org/officeDocument/2006/relationships" ref="AI28" r:id="rId124"/>
    <hyperlink xmlns:r="http://schemas.openxmlformats.org/officeDocument/2006/relationships" ref="C29" r:id="rId125"/>
    <hyperlink xmlns:r="http://schemas.openxmlformats.org/officeDocument/2006/relationships" ref="D29" r:id="rId126"/>
    <hyperlink xmlns:r="http://schemas.openxmlformats.org/officeDocument/2006/relationships" ref="H29" r:id="rId127"/>
    <hyperlink xmlns:r="http://schemas.openxmlformats.org/officeDocument/2006/relationships" ref="AI29" r:id="rId128"/>
    <hyperlink xmlns:r="http://schemas.openxmlformats.org/officeDocument/2006/relationships" ref="C30" r:id="rId129"/>
    <hyperlink xmlns:r="http://schemas.openxmlformats.org/officeDocument/2006/relationships" ref="D30" r:id="rId130"/>
    <hyperlink xmlns:r="http://schemas.openxmlformats.org/officeDocument/2006/relationships" ref="H30" r:id="rId131"/>
    <hyperlink xmlns:r="http://schemas.openxmlformats.org/officeDocument/2006/relationships" ref="Z30" r:id="rId132"/>
    <hyperlink xmlns:r="http://schemas.openxmlformats.org/officeDocument/2006/relationships" ref="AI30" r:id="rId133"/>
    <hyperlink xmlns:r="http://schemas.openxmlformats.org/officeDocument/2006/relationships" ref="C31" r:id="rId134"/>
    <hyperlink xmlns:r="http://schemas.openxmlformats.org/officeDocument/2006/relationships" ref="D31" r:id="rId135"/>
    <hyperlink xmlns:r="http://schemas.openxmlformats.org/officeDocument/2006/relationships" ref="H31" r:id="rId136"/>
    <hyperlink xmlns:r="http://schemas.openxmlformats.org/officeDocument/2006/relationships" ref="Z31" r:id="rId137"/>
    <hyperlink xmlns:r="http://schemas.openxmlformats.org/officeDocument/2006/relationships" ref="AI31" r:id="rId138"/>
    <hyperlink xmlns:r="http://schemas.openxmlformats.org/officeDocument/2006/relationships" ref="C32" r:id="rId139"/>
    <hyperlink xmlns:r="http://schemas.openxmlformats.org/officeDocument/2006/relationships" ref="D32" r:id="rId140"/>
    <hyperlink xmlns:r="http://schemas.openxmlformats.org/officeDocument/2006/relationships" ref="H32" r:id="rId141"/>
    <hyperlink xmlns:r="http://schemas.openxmlformats.org/officeDocument/2006/relationships" ref="Z32" r:id="rId142"/>
    <hyperlink xmlns:r="http://schemas.openxmlformats.org/officeDocument/2006/relationships" ref="AI32" r:id="rId143"/>
    <hyperlink xmlns:r="http://schemas.openxmlformats.org/officeDocument/2006/relationships" ref="C33" r:id="rId144"/>
    <hyperlink xmlns:r="http://schemas.openxmlformats.org/officeDocument/2006/relationships" ref="D33" r:id="rId145"/>
    <hyperlink xmlns:r="http://schemas.openxmlformats.org/officeDocument/2006/relationships" ref="H33" r:id="rId146"/>
    <hyperlink xmlns:r="http://schemas.openxmlformats.org/officeDocument/2006/relationships" ref="Z33" r:id="rId147"/>
    <hyperlink xmlns:r="http://schemas.openxmlformats.org/officeDocument/2006/relationships" ref="AI33" r:id="rId148"/>
    <hyperlink xmlns:r="http://schemas.openxmlformats.org/officeDocument/2006/relationships" ref="C34" r:id="rId149"/>
    <hyperlink xmlns:r="http://schemas.openxmlformats.org/officeDocument/2006/relationships" ref="D34" r:id="rId150"/>
    <hyperlink xmlns:r="http://schemas.openxmlformats.org/officeDocument/2006/relationships" ref="H34" r:id="rId151"/>
    <hyperlink xmlns:r="http://schemas.openxmlformats.org/officeDocument/2006/relationships" ref="Z34" r:id="rId152"/>
    <hyperlink xmlns:r="http://schemas.openxmlformats.org/officeDocument/2006/relationships" ref="AI34" r:id="rId153"/>
    <hyperlink xmlns:r="http://schemas.openxmlformats.org/officeDocument/2006/relationships" ref="C35" r:id="rId154"/>
    <hyperlink xmlns:r="http://schemas.openxmlformats.org/officeDocument/2006/relationships" ref="D35" r:id="rId155"/>
    <hyperlink xmlns:r="http://schemas.openxmlformats.org/officeDocument/2006/relationships" ref="H35" r:id="rId156"/>
    <hyperlink xmlns:r="http://schemas.openxmlformats.org/officeDocument/2006/relationships" ref="Z35" r:id="rId157"/>
    <hyperlink xmlns:r="http://schemas.openxmlformats.org/officeDocument/2006/relationships" ref="AI35" r:id="rId158"/>
    <hyperlink xmlns:r="http://schemas.openxmlformats.org/officeDocument/2006/relationships" ref="C36" r:id="rId159"/>
    <hyperlink xmlns:r="http://schemas.openxmlformats.org/officeDocument/2006/relationships" ref="D36" r:id="rId160"/>
    <hyperlink xmlns:r="http://schemas.openxmlformats.org/officeDocument/2006/relationships" ref="H36" r:id="rId161"/>
    <hyperlink xmlns:r="http://schemas.openxmlformats.org/officeDocument/2006/relationships" ref="Z36" r:id="rId162"/>
    <hyperlink xmlns:r="http://schemas.openxmlformats.org/officeDocument/2006/relationships" ref="AI36" r:id="rId163"/>
    <hyperlink xmlns:r="http://schemas.openxmlformats.org/officeDocument/2006/relationships" ref="C37" r:id="rId164"/>
    <hyperlink xmlns:r="http://schemas.openxmlformats.org/officeDocument/2006/relationships" ref="D37" r:id="rId165"/>
    <hyperlink xmlns:r="http://schemas.openxmlformats.org/officeDocument/2006/relationships" ref="H37" r:id="rId166"/>
    <hyperlink xmlns:r="http://schemas.openxmlformats.org/officeDocument/2006/relationships" ref="Z37" r:id="rId167"/>
    <hyperlink xmlns:r="http://schemas.openxmlformats.org/officeDocument/2006/relationships" ref="AI37" r:id="rId168"/>
    <hyperlink xmlns:r="http://schemas.openxmlformats.org/officeDocument/2006/relationships" ref="C38" r:id="rId169"/>
    <hyperlink xmlns:r="http://schemas.openxmlformats.org/officeDocument/2006/relationships" ref="D38" r:id="rId170"/>
    <hyperlink xmlns:r="http://schemas.openxmlformats.org/officeDocument/2006/relationships" ref="H38" r:id="rId171"/>
    <hyperlink xmlns:r="http://schemas.openxmlformats.org/officeDocument/2006/relationships" ref="Z38" r:id="rId172"/>
    <hyperlink xmlns:r="http://schemas.openxmlformats.org/officeDocument/2006/relationships" ref="AI38" r:id="rId173"/>
    <hyperlink xmlns:r="http://schemas.openxmlformats.org/officeDocument/2006/relationships" ref="C39" r:id="rId174"/>
    <hyperlink xmlns:r="http://schemas.openxmlformats.org/officeDocument/2006/relationships" ref="D39" r:id="rId175"/>
    <hyperlink xmlns:r="http://schemas.openxmlformats.org/officeDocument/2006/relationships" ref="H39" r:id="rId176"/>
    <hyperlink xmlns:r="http://schemas.openxmlformats.org/officeDocument/2006/relationships" ref="Z39" r:id="rId177"/>
    <hyperlink xmlns:r="http://schemas.openxmlformats.org/officeDocument/2006/relationships" ref="AI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Z40" r:id="rId182"/>
    <hyperlink xmlns:r="http://schemas.openxmlformats.org/officeDocument/2006/relationships" ref="AE40" r:id="rId183"/>
    <hyperlink xmlns:r="http://schemas.openxmlformats.org/officeDocument/2006/relationships" ref="AI40" r:id="rId184"/>
    <hyperlink xmlns:r="http://schemas.openxmlformats.org/officeDocument/2006/relationships" ref="C41" r:id="rId185"/>
    <hyperlink xmlns:r="http://schemas.openxmlformats.org/officeDocument/2006/relationships" ref="D41" r:id="rId186"/>
    <hyperlink xmlns:r="http://schemas.openxmlformats.org/officeDocument/2006/relationships" ref="H41" r:id="rId187"/>
    <hyperlink xmlns:r="http://schemas.openxmlformats.org/officeDocument/2006/relationships" ref="AI41" r:id="rId188"/>
    <hyperlink xmlns:r="http://schemas.openxmlformats.org/officeDocument/2006/relationships" ref="C42" r:id="rId189"/>
    <hyperlink xmlns:r="http://schemas.openxmlformats.org/officeDocument/2006/relationships" ref="D42" r:id="rId190"/>
    <hyperlink xmlns:r="http://schemas.openxmlformats.org/officeDocument/2006/relationships" ref="H42" r:id="rId191"/>
    <hyperlink xmlns:r="http://schemas.openxmlformats.org/officeDocument/2006/relationships" ref="AI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I43" r:id="rId196"/>
    <hyperlink xmlns:r="http://schemas.openxmlformats.org/officeDocument/2006/relationships" ref="C44" r:id="rId197"/>
    <hyperlink xmlns:r="http://schemas.openxmlformats.org/officeDocument/2006/relationships" ref="D44" r:id="rId198"/>
    <hyperlink xmlns:r="http://schemas.openxmlformats.org/officeDocument/2006/relationships" ref="H44" r:id="rId199"/>
    <hyperlink xmlns:r="http://schemas.openxmlformats.org/officeDocument/2006/relationships" ref="AI44" r:id="rId200"/>
    <hyperlink xmlns:r="http://schemas.openxmlformats.org/officeDocument/2006/relationships" ref="C45" r:id="rId201"/>
    <hyperlink xmlns:r="http://schemas.openxmlformats.org/officeDocument/2006/relationships" ref="D45" r:id="rId202"/>
    <hyperlink xmlns:r="http://schemas.openxmlformats.org/officeDocument/2006/relationships" ref="H45" r:id="rId203"/>
    <hyperlink xmlns:r="http://schemas.openxmlformats.org/officeDocument/2006/relationships" ref="AI45" r:id="rId204"/>
    <hyperlink xmlns:r="http://schemas.openxmlformats.org/officeDocument/2006/relationships" ref="C46" r:id="rId205"/>
    <hyperlink xmlns:r="http://schemas.openxmlformats.org/officeDocument/2006/relationships" ref="D46" r:id="rId206"/>
    <hyperlink xmlns:r="http://schemas.openxmlformats.org/officeDocument/2006/relationships" ref="H46" r:id="rId207"/>
    <hyperlink xmlns:r="http://schemas.openxmlformats.org/officeDocument/2006/relationships" ref="AI46" r:id="rId208"/>
    <hyperlink xmlns:r="http://schemas.openxmlformats.org/officeDocument/2006/relationships" ref="C47" r:id="rId209"/>
    <hyperlink xmlns:r="http://schemas.openxmlformats.org/officeDocument/2006/relationships" ref="D47" r:id="rId210"/>
    <hyperlink xmlns:r="http://schemas.openxmlformats.org/officeDocument/2006/relationships" ref="H47" r:id="rId211"/>
    <hyperlink xmlns:r="http://schemas.openxmlformats.org/officeDocument/2006/relationships" ref="AI47" r:id="rId212"/>
    <hyperlink xmlns:r="http://schemas.openxmlformats.org/officeDocument/2006/relationships" ref="C48" r:id="rId213"/>
    <hyperlink xmlns:r="http://schemas.openxmlformats.org/officeDocument/2006/relationships" ref="D48" r:id="rId214"/>
    <hyperlink xmlns:r="http://schemas.openxmlformats.org/officeDocument/2006/relationships" ref="H48" r:id="rId215"/>
    <hyperlink xmlns:r="http://schemas.openxmlformats.org/officeDocument/2006/relationships" ref="AI48" r:id="rId216"/>
    <hyperlink xmlns:r="http://schemas.openxmlformats.org/officeDocument/2006/relationships" ref="C49" r:id="rId217"/>
    <hyperlink xmlns:r="http://schemas.openxmlformats.org/officeDocument/2006/relationships" ref="D49" r:id="rId218"/>
    <hyperlink xmlns:r="http://schemas.openxmlformats.org/officeDocument/2006/relationships" ref="H49" r:id="rId219"/>
    <hyperlink xmlns:r="http://schemas.openxmlformats.org/officeDocument/2006/relationships" ref="AI49" r:id="rId2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2026-09-18T17:04:46Z</dcterms:created>
  <dcterms:modified xmlns:dcterms="http://purl.org/dc/terms/" xmlns:xsi="http://www.w3.org/2001/XMLSchema-instance" xsi:type="dcterms:W3CDTF">2026-09-18T17:04:46Z</dcterms:modified>
</cp:coreProperties>
</file>