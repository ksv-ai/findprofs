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ero Focus" sheetId="1" state="visible" r:id="rId1"/>
    <sheet xmlns:r="http://schemas.openxmlformats.org/officeDocument/2006/relationships" name="Field Matched" sheetId="2" state="visible" r:id="rId2"/>
    <sheet xmlns:r="http://schemas.openxmlformats.org/officeDocument/2006/relationships" name="All Faculty"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1"/>
    </font>
    <font>
      <name val="Calibri"/>
      <color rgb="000563C1"/>
      <sz val="11"/>
      <u val="single"/>
    </font>
  </fonts>
  <fills count="3">
    <fill>
      <patternFill/>
    </fill>
    <fill>
      <patternFill patternType="gray125"/>
    </fill>
    <fill>
      <patternFill patternType="solid">
        <fgColor rgb="001F497D"/>
        <bgColor rgb="001F49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center"/>
    </xf>
    <xf numFmtId="0"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doi.org/10.1017/jfm.2022.50" TargetMode="External" Id="rId4"/><Relationship Type="http://schemas.openxmlformats.org/officeDocument/2006/relationships/hyperlink" Target="https://doi.org/10.1017/jfm.2020.784" TargetMode="External" Id="rId5"/><Relationship Type="http://schemas.openxmlformats.org/officeDocument/2006/relationships/hyperlink" Target="https://doi.org/10.1017/jfm.2022.50 | https://doi.org/10.1017/jfm.2020.784" TargetMode="External" Id="rId6"/><Relationship Type="http://schemas.openxmlformats.org/officeDocument/2006/relationships/hyperlink" Target="https://kasbaoui.bitbucket.io" TargetMode="External" Id="rId7"/><Relationship Type="http://schemas.openxmlformats.org/officeDocument/2006/relationships/hyperlink" Target="https://bitbucket.org/krgasu/leap/downloads/leap-v0.8.2.tar.gz" TargetMode="External" Id="rId8"/><Relationship Type="http://schemas.openxmlformats.org/officeDocument/2006/relationships/hyperlink" Target="https://faculty.engineering.asu.edu/directory/semte/aerospace-and-mechanical-engineering/" TargetMode="External" Id="rId9"/><Relationship Type="http://schemas.openxmlformats.org/officeDocument/2006/relationships/hyperlink" Target="https://search.asu.edu/profile/asuchen" TargetMode="External" Id="rId10"/><Relationship Type="http://schemas.openxmlformats.org/officeDocument/2006/relationships/hyperlink" Target="https://scholar.google.com/citations?hl=en&amp;user=xT-lX9sAAAAJ" TargetMode="External" Id="rId11"/><Relationship Type="http://schemas.openxmlformats.org/officeDocument/2006/relationships/hyperlink" Target="mailto:k.p.chen@asu.edu" TargetMode="External" Id="rId12"/><Relationship Type="http://schemas.openxmlformats.org/officeDocument/2006/relationships/hyperlink" Target="https://doi.org/10.1016/j.ijrmms.2023.105422" TargetMode="External" Id="rId13"/><Relationship Type="http://schemas.openxmlformats.org/officeDocument/2006/relationships/hyperlink" Target="https://doi.org/10.1017/s0022112089000960" TargetMode="External" Id="rId14"/><Relationship Type="http://schemas.openxmlformats.org/officeDocument/2006/relationships/hyperlink" Target="https://doi.org/10.1016/j.ijrmms.2023.105422 | https://doi.org/10.1017/s0022112089000960" TargetMode="External" Id="rId15"/><Relationship Type="http://schemas.openxmlformats.org/officeDocument/2006/relationships/hyperlink" Target="https://faculty.engineering.asu.edu/directory/semte/aerospace-and-mechanical-engineering/" TargetMode="External" Id="rId16"/><Relationship Type="http://schemas.openxmlformats.org/officeDocument/2006/relationships/hyperlink" Target="https://search.asu.edu/profile/kramesh2" TargetMode="External" Id="rId17"/><Relationship Type="http://schemas.openxmlformats.org/officeDocument/2006/relationships/hyperlink" Target="https://scholar.google.com/citations?hl=en&amp;user=DKc-AgcAAAAJ" TargetMode="External" Id="rId18"/><Relationship Type="http://schemas.openxmlformats.org/officeDocument/2006/relationships/hyperlink" Target="mailto:Kiran.Ramesh@asu.edu" TargetMode="External" Id="rId19"/><Relationship Type="http://schemas.openxmlformats.org/officeDocument/2006/relationships/hyperlink" Target="https://doi.org/10.1007/s00348-020-03095-2" TargetMode="External" Id="rId20"/><Relationship Type="http://schemas.openxmlformats.org/officeDocument/2006/relationships/hyperlink" Target="https://doi.org/10.1017/jfm.2019.1070" TargetMode="External" Id="rId21"/><Relationship Type="http://schemas.openxmlformats.org/officeDocument/2006/relationships/hyperlink" Target="https://doi.org/10.1007/s00348-020-03095-2 | https://doi.org/10.1017/jfm.2019.1070" TargetMode="External" Id="rId22"/><Relationship Type="http://schemas.openxmlformats.org/officeDocument/2006/relationships/hyperlink" Target="https://faculty.engineering.asu.edu/directory/semte/aerospace-and-mechanical-engineering/" TargetMode="External" Id="rId23"/><Relationship Type="http://schemas.openxmlformats.org/officeDocument/2006/relationships/hyperlink" Target="https://search.asu.edu/profile/leixinma" TargetMode="External" Id="rId24"/><Relationship Type="http://schemas.openxmlformats.org/officeDocument/2006/relationships/hyperlink" Target="https://scholar.google.com/citations?hl=en&amp;user=2xQTOc0AAAAJ" TargetMode="External" Id="rId25"/><Relationship Type="http://schemas.openxmlformats.org/officeDocument/2006/relationships/hyperlink" Target="mailto:Leixin.Ma@asu.edu" TargetMode="External" Id="rId26"/><Relationship Type="http://schemas.openxmlformats.org/officeDocument/2006/relationships/hyperlink" Target="https://doi.org/10.1016/j.marstruc.2022.103195" TargetMode="External" Id="rId27"/><Relationship Type="http://schemas.openxmlformats.org/officeDocument/2006/relationships/hyperlink" Target="https://doi.org/10.1016/j.oceaneng.2022.111858" TargetMode="External" Id="rId28"/><Relationship Type="http://schemas.openxmlformats.org/officeDocument/2006/relationships/hyperlink" Target="https://doi.org/10.1016/j.marstruc.2022.103195 | https://doi.org/10.1016/j.oceaneng.2022.111858" TargetMode="External" Id="rId29"/><Relationship Type="http://schemas.openxmlformats.org/officeDocument/2006/relationships/hyperlink" Target="https://sites.google.com/view/oasislabasu" TargetMode="External" Id="rId30"/><Relationship Type="http://schemas.openxmlformats.org/officeDocument/2006/relationships/hyperlink" Target="https://faculty.engineering.asu.edu/directory/semte/aerospace-and-mechanical-engineering/" TargetMode="External" Id="rId31"/><Relationship Type="http://schemas.openxmlformats.org/officeDocument/2006/relationships/hyperlink" Target="https://search.asu.edu/profile/gpathiko" TargetMode="External" Id="rId32"/><Relationship Type="http://schemas.openxmlformats.org/officeDocument/2006/relationships/hyperlink" Target="https://scholar.google.com/citations?view_op=search_authors&amp;mauthors=Gokul%20Pathikonda%20Arizona%20State%20University" TargetMode="External" Id="rId33"/><Relationship Type="http://schemas.openxmlformats.org/officeDocument/2006/relationships/hyperlink" Target="mailto:Gokul.Pathikonda@asu.edu" TargetMode="External" Id="rId34"/><Relationship Type="http://schemas.openxmlformats.org/officeDocument/2006/relationships/hyperlink" Target="https://doi.org/10.1017/jfm.2025.11073" TargetMode="External" Id="rId35"/><Relationship Type="http://schemas.openxmlformats.org/officeDocument/2006/relationships/hyperlink" Target="https://doi.org/10.1017/jfm.2022.1076" TargetMode="External" Id="rId36"/><Relationship Type="http://schemas.openxmlformats.org/officeDocument/2006/relationships/hyperlink" Target="https://doi.org/10.1017/jfm.2025.11073 | https://doi.org/10.1017/jfm.2022.1076" TargetMode="External" Id="rId37"/><Relationship Type="http://schemas.openxmlformats.org/officeDocument/2006/relationships/hyperlink" Target="https://faculty.engineering.asu.edu/cmat/" TargetMode="External" Id="rId38"/><Relationship Type="http://schemas.openxmlformats.org/officeDocument/2006/relationships/hyperlink" Target="https://faculty.engineering.asu.edu/directory/semte/aerospace-and-mechanical-engineering/" TargetMode="External" Id="rId39"/><Relationship Type="http://schemas.openxmlformats.org/officeDocument/2006/relationships/hyperlink" Target="https://search.asu.edu/profile/mherrma1" TargetMode="External" Id="rId40"/><Relationship Type="http://schemas.openxmlformats.org/officeDocument/2006/relationships/hyperlink" Target="https://scholar.google.com/citations?hl=en&amp;user=yv6aCW8AAAAJ" TargetMode="External" Id="rId41"/><Relationship Type="http://schemas.openxmlformats.org/officeDocument/2006/relationships/hyperlink" Target="mailto:Marcus.Herrmann@asu.edu" TargetMode="External" Id="rId42"/><Relationship Type="http://schemas.openxmlformats.org/officeDocument/2006/relationships/hyperlink" Target="https://doi.org/10.1016/j.proci.2020.08.004" TargetMode="External" Id="rId43"/><Relationship Type="http://schemas.openxmlformats.org/officeDocument/2006/relationships/hyperlink" Target="https://doi.org/10.1016/j.jcp.2023.112136" TargetMode="External" Id="rId44"/><Relationship Type="http://schemas.openxmlformats.org/officeDocument/2006/relationships/hyperlink" Target="https://doi.org/10.1016/j.proci.2020.08.004 | https://doi.org/10.1016/j.jcp.2023.112136" TargetMode="External" Id="rId45"/><Relationship Type="http://schemas.openxmlformats.org/officeDocument/2006/relationships/hyperlink" Target="https://faculty.engineering.asu.edu/directory/semte/aerospace-and-mechanical-engineering/" TargetMode="External" Id="rId46"/><Relationship Type="http://schemas.openxmlformats.org/officeDocument/2006/relationships/hyperlink" Target="https://search.asu.edu/profile/jkim520" TargetMode="External" Id="rId47"/><Relationship Type="http://schemas.openxmlformats.org/officeDocument/2006/relationships/hyperlink" Target="https://scholar.google.com/citations?view_op=search_authors&amp;mauthors=Jeonglae%20Kim%20Arizona%20State%20University" TargetMode="External" Id="rId48"/><Relationship Type="http://schemas.openxmlformats.org/officeDocument/2006/relationships/hyperlink" Target="mailto:jeokim@asu.edu" TargetMode="External" Id="rId49"/><Relationship Type="http://schemas.openxmlformats.org/officeDocument/2006/relationships/hyperlink" Target="https://doi.org/10.1007/s12206-023-1029-x" TargetMode="External" Id="rId50"/><Relationship Type="http://schemas.openxmlformats.org/officeDocument/2006/relationships/hyperlink" Target="https://doi.org/10.1017/jfm.2013.654" TargetMode="External" Id="rId51"/><Relationship Type="http://schemas.openxmlformats.org/officeDocument/2006/relationships/hyperlink" Target="https://doi.org/10.1007/s12206-023-1029-x | https://doi.org/10.1017/jfm.2013.654" TargetMode="External" Id="rId52"/><Relationship Type="http://schemas.openxmlformats.org/officeDocument/2006/relationships/hyperlink" Target="https://faculty.engineering.asu.edu/directory/semte/aerospace-and-mechanical-engineering/" TargetMode="External" Id="rId53"/><Relationship Type="http://schemas.openxmlformats.org/officeDocument/2006/relationships/hyperlink" Target="https://search.asu.edu/profile/rjmilcar" TargetMode="External" Id="rId54"/><Relationship Type="http://schemas.openxmlformats.org/officeDocument/2006/relationships/hyperlink" Target="https://scholar.google.com/citations?hl=en&amp;user=m-Pb6g2pm2UC" TargetMode="External" Id="rId55"/><Relationship Type="http://schemas.openxmlformats.org/officeDocument/2006/relationships/hyperlink" Target="mailto:Ryan.Milcarek@asu.edu" TargetMode="External" Id="rId56"/><Relationship Type="http://schemas.openxmlformats.org/officeDocument/2006/relationships/hyperlink" Target="https://doi.org/10.1016/j.ecmx.2023.100394" TargetMode="External" Id="rId57"/><Relationship Type="http://schemas.openxmlformats.org/officeDocument/2006/relationships/hyperlink" Target="https://doi.org/10.1016/j.energy.2023.128818" TargetMode="External" Id="rId58"/><Relationship Type="http://schemas.openxmlformats.org/officeDocument/2006/relationships/hyperlink" Target="https://doi.org/10.1016/j.ecmx.2023.100394 | https://doi.org/10.1016/j.energy.2023.128818" TargetMode="External" Id="rId59"/><Relationship Type="http://schemas.openxmlformats.org/officeDocument/2006/relationships/hyperlink" Target="http://RESEARCHGATE.net/profile/Ryan_Milcarek" TargetMode="External" Id="rId60"/><Relationship Type="http://schemas.openxmlformats.org/officeDocument/2006/relationships/hyperlink" Target="https://faculty.engineering.asu.edu/directory/semte/aerospace-and-mechanical-engineering/" TargetMode="External" Id="rId61"/><Relationship Type="http://schemas.openxmlformats.org/officeDocument/2006/relationships/hyperlink" Target="https://search.asu.edu/profile/adscotti" TargetMode="External" Id="rId62"/><Relationship Type="http://schemas.openxmlformats.org/officeDocument/2006/relationships/hyperlink" Target="https://scholar.google.com/citations?hl=en&amp;user=HRx2lJQAAAAJ" TargetMode="External" Id="rId63"/><Relationship Type="http://schemas.openxmlformats.org/officeDocument/2006/relationships/hyperlink" Target="mailto:Alberto.Scotti@asu.edu" TargetMode="External" Id="rId64"/><Relationship Type="http://schemas.openxmlformats.org/officeDocument/2006/relationships/hyperlink" Target="https://doi.org/10.1017/jfm.2022.206" TargetMode="External" Id="rId65"/><Relationship Type="http://schemas.openxmlformats.org/officeDocument/2006/relationships/hyperlink" Target="https://doi.org/10.1016/j.apor.2020.102402" TargetMode="External" Id="rId66"/><Relationship Type="http://schemas.openxmlformats.org/officeDocument/2006/relationships/hyperlink" Target="https://doi.org/10.1017/jfm.2022.206 | https://doi.org/10.1016/j.apor.2020.102402" TargetMode="External" Id="rId67"/><Relationship Type="http://schemas.openxmlformats.org/officeDocument/2006/relationships/hyperlink" Target="https://faculty.engineering.asu.edu/directory/semte/aerospace-and-mechanical-engineering/" TargetMode="External" Id="rId68"/><Relationship Type="http://schemas.openxmlformats.org/officeDocument/2006/relationships/hyperlink" Target="https://search.asu.edu/profile/ypeet" TargetMode="External" Id="rId69"/><Relationship Type="http://schemas.openxmlformats.org/officeDocument/2006/relationships/hyperlink" Target="https://scholar.google.com/citations?hl=en&amp;user=_6o8MrUAAAAJ" TargetMode="External" Id="rId70"/><Relationship Type="http://schemas.openxmlformats.org/officeDocument/2006/relationships/hyperlink" Target="mailto:ypeet@asu.edu" TargetMode="External" Id="rId71"/><Relationship Type="http://schemas.openxmlformats.org/officeDocument/2006/relationships/hyperlink" Target="https://doi.org/10.1017/jfm.2023.231" TargetMode="External" Id="rId72"/><Relationship Type="http://schemas.openxmlformats.org/officeDocument/2006/relationships/hyperlink" Target="https://doi.org/10.1016/j.euromechflu.2023.07.008" TargetMode="External" Id="rId73"/><Relationship Type="http://schemas.openxmlformats.org/officeDocument/2006/relationships/hyperlink" Target="https://doi.org/10.1017/jfm.2023.231 | https://doi.org/10.1016/j.euromechflu.2023.07.008" TargetMode="External" Id="rId74"/><Relationship Type="http://schemas.openxmlformats.org/officeDocument/2006/relationships/hyperlink" Target="https://isim.asu.edu" TargetMode="External" Id="rId75"/><Relationship Type="http://schemas.openxmlformats.org/officeDocument/2006/relationships/hyperlink" Target="https://faculty.engineering.asu.edu/directory/semte/aerospace-and-mechanical-engineering/" TargetMode="External" Id="rId76"/><Relationship Type="http://schemas.openxmlformats.org/officeDocument/2006/relationships/hyperlink" Target="https://search.asu.edu/profile/rcalhou" TargetMode="External" Id="rId77"/><Relationship Type="http://schemas.openxmlformats.org/officeDocument/2006/relationships/hyperlink" Target="https://scholar.google.com/citations?view_op=search_authors&amp;mauthors=Ronald%20Calhoun%20Arizona%20State%20University" TargetMode="External" Id="rId78"/><Relationship Type="http://schemas.openxmlformats.org/officeDocument/2006/relationships/hyperlink" Target="mailto:Ronald.Calhoun@asu.edu" TargetMode="External" Id="rId79"/><Relationship Type="http://schemas.openxmlformats.org/officeDocument/2006/relationships/hyperlink" Target="https://doi.org/10.1016/j.apenergy.2020.115050" TargetMode="External" Id="rId80"/><Relationship Type="http://schemas.openxmlformats.org/officeDocument/2006/relationships/hyperlink" Target="https://doi.org/10.1175/2010bams2614.1" TargetMode="External" Id="rId81"/><Relationship Type="http://schemas.openxmlformats.org/officeDocument/2006/relationships/hyperlink" Target="https://doi.org/10.1016/j.apenergy.2020.115050 | https://doi.org/10.1175/2010bams2614.1" TargetMode="External" Id="rId82"/><Relationship Type="http://schemas.openxmlformats.org/officeDocument/2006/relationships/hyperlink" Target="https://windlab.engineering.asu.edu/ronald-calhoun/" TargetMode="External" Id="rId83"/><Relationship Type="http://schemas.openxmlformats.org/officeDocument/2006/relationships/hyperlink" Target="https://faculty.engineering.asu.edu/directory/semte/aerospace-and-mechanical-engineering/" TargetMode="External" Id="rId84"/></Relationships>
</file>

<file path=xl/worksheets/_rels/sheet2.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doi.org/10.1017/jfm.2022.50" TargetMode="External" Id="rId4"/><Relationship Type="http://schemas.openxmlformats.org/officeDocument/2006/relationships/hyperlink" Target="https://doi.org/10.1017/jfm.2020.784" TargetMode="External" Id="rId5"/><Relationship Type="http://schemas.openxmlformats.org/officeDocument/2006/relationships/hyperlink" Target="https://doi.org/10.1017/jfm.2022.50 | https://doi.org/10.1017/jfm.2020.784" TargetMode="External" Id="rId6"/><Relationship Type="http://schemas.openxmlformats.org/officeDocument/2006/relationships/hyperlink" Target="https://kasbaoui.bitbucket.io" TargetMode="External" Id="rId7"/><Relationship Type="http://schemas.openxmlformats.org/officeDocument/2006/relationships/hyperlink" Target="https://bitbucket.org/krgasu/leap/downloads/leap-v0.8.2.tar.gz" TargetMode="External" Id="rId8"/><Relationship Type="http://schemas.openxmlformats.org/officeDocument/2006/relationships/hyperlink" Target="https://faculty.engineering.asu.edu/directory/semte/aerospace-and-mechanical-engineering/" TargetMode="External" Id="rId9"/><Relationship Type="http://schemas.openxmlformats.org/officeDocument/2006/relationships/hyperlink" Target="https://search.asu.edu/profile/asuchen" TargetMode="External" Id="rId10"/><Relationship Type="http://schemas.openxmlformats.org/officeDocument/2006/relationships/hyperlink" Target="https://scholar.google.com/citations?hl=en&amp;user=xT-lX9sAAAAJ" TargetMode="External" Id="rId11"/><Relationship Type="http://schemas.openxmlformats.org/officeDocument/2006/relationships/hyperlink" Target="mailto:k.p.chen@asu.edu" TargetMode="External" Id="rId12"/><Relationship Type="http://schemas.openxmlformats.org/officeDocument/2006/relationships/hyperlink" Target="https://doi.org/10.1016/j.ijrmms.2023.105422" TargetMode="External" Id="rId13"/><Relationship Type="http://schemas.openxmlformats.org/officeDocument/2006/relationships/hyperlink" Target="https://doi.org/10.1017/s0022112089000960" TargetMode="External" Id="rId14"/><Relationship Type="http://schemas.openxmlformats.org/officeDocument/2006/relationships/hyperlink" Target="https://doi.org/10.1016/j.ijrmms.2023.105422 | https://doi.org/10.1017/s0022112089000960" TargetMode="External" Id="rId15"/><Relationship Type="http://schemas.openxmlformats.org/officeDocument/2006/relationships/hyperlink" Target="https://faculty.engineering.asu.edu/directory/semte/aerospace-and-mechanical-engineering/" TargetMode="External" Id="rId16"/><Relationship Type="http://schemas.openxmlformats.org/officeDocument/2006/relationships/hyperlink" Target="https://search.asu.edu/profile/kramesh2" TargetMode="External" Id="rId17"/><Relationship Type="http://schemas.openxmlformats.org/officeDocument/2006/relationships/hyperlink" Target="https://scholar.google.com/citations?hl=en&amp;user=DKc-AgcAAAAJ" TargetMode="External" Id="rId18"/><Relationship Type="http://schemas.openxmlformats.org/officeDocument/2006/relationships/hyperlink" Target="mailto:Kiran.Ramesh@asu.edu" TargetMode="External" Id="rId19"/><Relationship Type="http://schemas.openxmlformats.org/officeDocument/2006/relationships/hyperlink" Target="https://doi.org/10.1007/s00348-020-03095-2" TargetMode="External" Id="rId20"/><Relationship Type="http://schemas.openxmlformats.org/officeDocument/2006/relationships/hyperlink" Target="https://doi.org/10.1017/jfm.2019.1070" TargetMode="External" Id="rId21"/><Relationship Type="http://schemas.openxmlformats.org/officeDocument/2006/relationships/hyperlink" Target="https://doi.org/10.1007/s00348-020-03095-2 | https://doi.org/10.1017/jfm.2019.1070" TargetMode="External" Id="rId22"/><Relationship Type="http://schemas.openxmlformats.org/officeDocument/2006/relationships/hyperlink" Target="https://faculty.engineering.asu.edu/directory/semte/aerospace-and-mechanical-engineering/" TargetMode="External" Id="rId23"/><Relationship Type="http://schemas.openxmlformats.org/officeDocument/2006/relationships/hyperlink" Target="https://search.asu.edu/profile/leixinma" TargetMode="External" Id="rId24"/><Relationship Type="http://schemas.openxmlformats.org/officeDocument/2006/relationships/hyperlink" Target="https://scholar.google.com/citations?hl=en&amp;user=2xQTOc0AAAAJ" TargetMode="External" Id="rId25"/><Relationship Type="http://schemas.openxmlformats.org/officeDocument/2006/relationships/hyperlink" Target="mailto:Leixin.Ma@asu.edu" TargetMode="External" Id="rId26"/><Relationship Type="http://schemas.openxmlformats.org/officeDocument/2006/relationships/hyperlink" Target="https://doi.org/10.1016/j.marstruc.2022.103195" TargetMode="External" Id="rId27"/><Relationship Type="http://schemas.openxmlformats.org/officeDocument/2006/relationships/hyperlink" Target="https://doi.org/10.1016/j.oceaneng.2022.111858" TargetMode="External" Id="rId28"/><Relationship Type="http://schemas.openxmlformats.org/officeDocument/2006/relationships/hyperlink" Target="https://doi.org/10.1016/j.marstruc.2022.103195 | https://doi.org/10.1016/j.oceaneng.2022.111858" TargetMode="External" Id="rId29"/><Relationship Type="http://schemas.openxmlformats.org/officeDocument/2006/relationships/hyperlink" Target="https://sites.google.com/view/oasislabasu" TargetMode="External" Id="rId30"/><Relationship Type="http://schemas.openxmlformats.org/officeDocument/2006/relationships/hyperlink" Target="https://faculty.engineering.asu.edu/directory/semte/aerospace-and-mechanical-engineering/" TargetMode="External" Id="rId31"/><Relationship Type="http://schemas.openxmlformats.org/officeDocument/2006/relationships/hyperlink" Target="https://search.asu.edu/profile/gpathiko" TargetMode="External" Id="rId32"/><Relationship Type="http://schemas.openxmlformats.org/officeDocument/2006/relationships/hyperlink" Target="https://scholar.google.com/citations?view_op=search_authors&amp;mauthors=Gokul%20Pathikonda%20Arizona%20State%20University" TargetMode="External" Id="rId33"/><Relationship Type="http://schemas.openxmlformats.org/officeDocument/2006/relationships/hyperlink" Target="mailto:Gokul.Pathikonda@asu.edu" TargetMode="External" Id="rId34"/><Relationship Type="http://schemas.openxmlformats.org/officeDocument/2006/relationships/hyperlink" Target="https://doi.org/10.1017/jfm.2025.11073" TargetMode="External" Id="rId35"/><Relationship Type="http://schemas.openxmlformats.org/officeDocument/2006/relationships/hyperlink" Target="https://doi.org/10.1017/jfm.2022.1076" TargetMode="External" Id="rId36"/><Relationship Type="http://schemas.openxmlformats.org/officeDocument/2006/relationships/hyperlink" Target="https://doi.org/10.1017/jfm.2025.11073 | https://doi.org/10.1017/jfm.2022.1076" TargetMode="External" Id="rId37"/><Relationship Type="http://schemas.openxmlformats.org/officeDocument/2006/relationships/hyperlink" Target="https://faculty.engineering.asu.edu/cmat/" TargetMode="External" Id="rId38"/><Relationship Type="http://schemas.openxmlformats.org/officeDocument/2006/relationships/hyperlink" Target="https://faculty.engineering.asu.edu/directory/semte/aerospace-and-mechanical-engineering/" TargetMode="External" Id="rId39"/><Relationship Type="http://schemas.openxmlformats.org/officeDocument/2006/relationships/hyperlink" Target="https://search.asu.edu/profile/mherrma1" TargetMode="External" Id="rId40"/><Relationship Type="http://schemas.openxmlformats.org/officeDocument/2006/relationships/hyperlink" Target="https://scholar.google.com/citations?hl=en&amp;user=yv6aCW8AAAAJ" TargetMode="External" Id="rId41"/><Relationship Type="http://schemas.openxmlformats.org/officeDocument/2006/relationships/hyperlink" Target="mailto:Marcus.Herrmann@asu.edu" TargetMode="External" Id="rId42"/><Relationship Type="http://schemas.openxmlformats.org/officeDocument/2006/relationships/hyperlink" Target="https://doi.org/10.1016/j.proci.2020.08.004" TargetMode="External" Id="rId43"/><Relationship Type="http://schemas.openxmlformats.org/officeDocument/2006/relationships/hyperlink" Target="https://doi.org/10.1016/j.jcp.2023.112136" TargetMode="External" Id="rId44"/><Relationship Type="http://schemas.openxmlformats.org/officeDocument/2006/relationships/hyperlink" Target="https://doi.org/10.1016/j.proci.2020.08.004 | https://doi.org/10.1016/j.jcp.2023.112136" TargetMode="External" Id="rId45"/><Relationship Type="http://schemas.openxmlformats.org/officeDocument/2006/relationships/hyperlink" Target="https://faculty.engineering.asu.edu/directory/semte/aerospace-and-mechanical-engineering/" TargetMode="External" Id="rId46"/><Relationship Type="http://schemas.openxmlformats.org/officeDocument/2006/relationships/hyperlink" Target="https://search.asu.edu/profile/jkim520" TargetMode="External" Id="rId47"/><Relationship Type="http://schemas.openxmlformats.org/officeDocument/2006/relationships/hyperlink" Target="https://scholar.google.com/citations?view_op=search_authors&amp;mauthors=Jeonglae%20Kim%20Arizona%20State%20University" TargetMode="External" Id="rId48"/><Relationship Type="http://schemas.openxmlformats.org/officeDocument/2006/relationships/hyperlink" Target="mailto:jeokim@asu.edu" TargetMode="External" Id="rId49"/><Relationship Type="http://schemas.openxmlformats.org/officeDocument/2006/relationships/hyperlink" Target="https://doi.org/10.1007/s12206-023-1029-x" TargetMode="External" Id="rId50"/><Relationship Type="http://schemas.openxmlformats.org/officeDocument/2006/relationships/hyperlink" Target="https://doi.org/10.1017/jfm.2013.654" TargetMode="External" Id="rId51"/><Relationship Type="http://schemas.openxmlformats.org/officeDocument/2006/relationships/hyperlink" Target="https://doi.org/10.1007/s12206-023-1029-x | https://doi.org/10.1017/jfm.2013.654" TargetMode="External" Id="rId52"/><Relationship Type="http://schemas.openxmlformats.org/officeDocument/2006/relationships/hyperlink" Target="https://faculty.engineering.asu.edu/directory/semte/aerospace-and-mechanical-engineering/" TargetMode="External" Id="rId53"/><Relationship Type="http://schemas.openxmlformats.org/officeDocument/2006/relationships/hyperlink" Target="https://search.asu.edu/profile/rjmilcar" TargetMode="External" Id="rId54"/><Relationship Type="http://schemas.openxmlformats.org/officeDocument/2006/relationships/hyperlink" Target="https://scholar.google.com/citations?hl=en&amp;user=m-Pb6g2pm2UC" TargetMode="External" Id="rId55"/><Relationship Type="http://schemas.openxmlformats.org/officeDocument/2006/relationships/hyperlink" Target="mailto:Ryan.Milcarek@asu.edu" TargetMode="External" Id="rId56"/><Relationship Type="http://schemas.openxmlformats.org/officeDocument/2006/relationships/hyperlink" Target="https://doi.org/10.1016/j.ecmx.2023.100394" TargetMode="External" Id="rId57"/><Relationship Type="http://schemas.openxmlformats.org/officeDocument/2006/relationships/hyperlink" Target="https://doi.org/10.1016/j.energy.2023.128818" TargetMode="External" Id="rId58"/><Relationship Type="http://schemas.openxmlformats.org/officeDocument/2006/relationships/hyperlink" Target="https://doi.org/10.1016/j.ecmx.2023.100394 | https://doi.org/10.1016/j.energy.2023.128818" TargetMode="External" Id="rId59"/><Relationship Type="http://schemas.openxmlformats.org/officeDocument/2006/relationships/hyperlink" Target="http://RESEARCHGATE.net/profile/Ryan_Milcarek" TargetMode="External" Id="rId60"/><Relationship Type="http://schemas.openxmlformats.org/officeDocument/2006/relationships/hyperlink" Target="https://faculty.engineering.asu.edu/directory/semte/aerospace-and-mechanical-engineering/" TargetMode="External" Id="rId61"/><Relationship Type="http://schemas.openxmlformats.org/officeDocument/2006/relationships/hyperlink" Target="https://search.asu.edu/profile/adscotti" TargetMode="External" Id="rId62"/><Relationship Type="http://schemas.openxmlformats.org/officeDocument/2006/relationships/hyperlink" Target="https://scholar.google.com/citations?hl=en&amp;user=HRx2lJQAAAAJ" TargetMode="External" Id="rId63"/><Relationship Type="http://schemas.openxmlformats.org/officeDocument/2006/relationships/hyperlink" Target="mailto:Alberto.Scotti@asu.edu" TargetMode="External" Id="rId64"/><Relationship Type="http://schemas.openxmlformats.org/officeDocument/2006/relationships/hyperlink" Target="https://doi.org/10.1017/jfm.2022.206" TargetMode="External" Id="rId65"/><Relationship Type="http://schemas.openxmlformats.org/officeDocument/2006/relationships/hyperlink" Target="https://doi.org/10.1016/j.apor.2020.102402" TargetMode="External" Id="rId66"/><Relationship Type="http://schemas.openxmlformats.org/officeDocument/2006/relationships/hyperlink" Target="https://doi.org/10.1017/jfm.2022.206 | https://doi.org/10.1016/j.apor.2020.102402" TargetMode="External" Id="rId67"/><Relationship Type="http://schemas.openxmlformats.org/officeDocument/2006/relationships/hyperlink" Target="https://faculty.engineering.asu.edu/directory/semte/aerospace-and-mechanical-engineering/" TargetMode="External" Id="rId68"/><Relationship Type="http://schemas.openxmlformats.org/officeDocument/2006/relationships/hyperlink" Target="https://search.asu.edu/profile/ypeet" TargetMode="External" Id="rId69"/><Relationship Type="http://schemas.openxmlformats.org/officeDocument/2006/relationships/hyperlink" Target="https://scholar.google.com/citations?hl=en&amp;user=_6o8MrUAAAAJ" TargetMode="External" Id="rId70"/><Relationship Type="http://schemas.openxmlformats.org/officeDocument/2006/relationships/hyperlink" Target="mailto:ypeet@asu.edu" TargetMode="External" Id="rId71"/><Relationship Type="http://schemas.openxmlformats.org/officeDocument/2006/relationships/hyperlink" Target="https://doi.org/10.1017/jfm.2023.231" TargetMode="External" Id="rId72"/><Relationship Type="http://schemas.openxmlformats.org/officeDocument/2006/relationships/hyperlink" Target="https://doi.org/10.1016/j.euromechflu.2023.07.008" TargetMode="External" Id="rId73"/><Relationship Type="http://schemas.openxmlformats.org/officeDocument/2006/relationships/hyperlink" Target="https://doi.org/10.1017/jfm.2023.231 | https://doi.org/10.1016/j.euromechflu.2023.07.008" TargetMode="External" Id="rId74"/><Relationship Type="http://schemas.openxmlformats.org/officeDocument/2006/relationships/hyperlink" Target="https://isim.asu.edu" TargetMode="External" Id="rId75"/><Relationship Type="http://schemas.openxmlformats.org/officeDocument/2006/relationships/hyperlink" Target="https://faculty.engineering.asu.edu/directory/semte/aerospace-and-mechanical-engineering/" TargetMode="External" Id="rId76"/><Relationship Type="http://schemas.openxmlformats.org/officeDocument/2006/relationships/hyperlink" Target="https://search.asu.edu/profile/rcalhou" TargetMode="External" Id="rId77"/><Relationship Type="http://schemas.openxmlformats.org/officeDocument/2006/relationships/hyperlink" Target="https://scholar.google.com/citations?view_op=search_authors&amp;mauthors=Ronald%20Calhoun%20Arizona%20State%20University" TargetMode="External" Id="rId78"/><Relationship Type="http://schemas.openxmlformats.org/officeDocument/2006/relationships/hyperlink" Target="mailto:Ronald.Calhoun@asu.edu" TargetMode="External" Id="rId79"/><Relationship Type="http://schemas.openxmlformats.org/officeDocument/2006/relationships/hyperlink" Target="https://doi.org/10.1016/j.apenergy.2020.115050" TargetMode="External" Id="rId80"/><Relationship Type="http://schemas.openxmlformats.org/officeDocument/2006/relationships/hyperlink" Target="https://doi.org/10.1175/2010bams2614.1" TargetMode="External" Id="rId81"/><Relationship Type="http://schemas.openxmlformats.org/officeDocument/2006/relationships/hyperlink" Target="https://doi.org/10.1016/j.apenergy.2020.115050 | https://doi.org/10.1175/2010bams2614.1" TargetMode="External" Id="rId82"/><Relationship Type="http://schemas.openxmlformats.org/officeDocument/2006/relationships/hyperlink" Target="https://windlab.engineering.asu.edu/ronald-calhoun/" TargetMode="External" Id="rId83"/><Relationship Type="http://schemas.openxmlformats.org/officeDocument/2006/relationships/hyperlink" Target="https://faculty.engineering.asu.edu/directory/semte/aerospace-and-mechanical-engineering/" TargetMode="External" Id="rId84"/><Relationship Type="http://schemas.openxmlformats.org/officeDocument/2006/relationships/hyperlink" Target="https://search.asu.edu/profile/lwang78" TargetMode="External" Id="rId85"/><Relationship Type="http://schemas.openxmlformats.org/officeDocument/2006/relationships/hyperlink" Target="https://scholar.google.com/citations?view_op=search_authors&amp;mauthors=Liping%20Wang%20Arizona%20State%20University" TargetMode="External" Id="rId86"/><Relationship Type="http://schemas.openxmlformats.org/officeDocument/2006/relationships/hyperlink" Target="mailto:Liping.Wang@asu.edu" TargetMode="External" Id="rId87"/><Relationship Type="http://schemas.openxmlformats.org/officeDocument/2006/relationships/hyperlink" Target="http://faculty.engineering.asu.edu/lpwang" TargetMode="External" Id="rId88"/><Relationship Type="http://schemas.openxmlformats.org/officeDocument/2006/relationships/hyperlink" Target="https://faculty.engineering.asu.edu/directory/semte/aerospace-and-mechanical-engineering/" TargetMode="External" Id="rId89"/><Relationship Type="http://schemas.openxmlformats.org/officeDocument/2006/relationships/hyperlink" Target="https://search.asu.edu/profile/rywang" TargetMode="External" Id="rId90"/><Relationship Type="http://schemas.openxmlformats.org/officeDocument/2006/relationships/hyperlink" Target="https://scholar.google.com/citations?hl=en&amp;user=LaUdx9gAAAAJ" TargetMode="External" Id="rId91"/><Relationship Type="http://schemas.openxmlformats.org/officeDocument/2006/relationships/hyperlink" Target="mailto:rywang@asu.edu" TargetMode="External" Id="rId92"/><Relationship Type="http://schemas.openxmlformats.org/officeDocument/2006/relationships/hyperlink" Target="http://wang.faculty.asu.edu/" TargetMode="External" Id="rId93"/><Relationship Type="http://schemas.openxmlformats.org/officeDocument/2006/relationships/hyperlink" Target="https://faculty.engineering.asu.edu/directory/semte/aerospace-and-mechanical-engineering/" TargetMode="External" Id="rId94"/><Relationship Type="http://schemas.openxmlformats.org/officeDocument/2006/relationships/hyperlink" Target="https://search.asu.edu/profile/attwl" TargetMode="External" Id="rId95"/><Relationship Type="http://schemas.openxmlformats.org/officeDocument/2006/relationships/hyperlink" Target="https://scholar.google.com/citations?view_op=search_authors&amp;mauthors=T.-W.%20Lee%20Arizona%20State%20University" TargetMode="External" Id="rId96"/><Relationship Type="http://schemas.openxmlformats.org/officeDocument/2006/relationships/hyperlink" Target="mailto:ATTWL@asu.edu" TargetMode="External" Id="rId97"/><Relationship Type="http://schemas.openxmlformats.org/officeDocument/2006/relationships/hyperlink" Target="https://faculty.engineering.asu.edu/directory/semte/aerospace-and-mechanical-engineering/" TargetMode="External" Id="rId98"/><Relationship Type="http://schemas.openxmlformats.org/officeDocument/2006/relationships/hyperlink" Target="https://search.asu.edu/profile/tyang123" TargetMode="External" Id="rId99"/><Relationship Type="http://schemas.openxmlformats.org/officeDocument/2006/relationships/hyperlink" Target="https://scholar.google.com/citations?hl=en&amp;user=OmBV67MAAAAJ" TargetMode="External" Id="rId100"/><Relationship Type="http://schemas.openxmlformats.org/officeDocument/2006/relationships/hyperlink" Target="mailto:Tianyu.Yang@asu.edu" TargetMode="External" Id="rId101"/><Relationship Type="http://schemas.openxmlformats.org/officeDocument/2006/relationships/hyperlink" Target="https://faculty.engineering.asu.edu/directory/semte/aerospace-and-mechanical-engineering/" TargetMode="External" Id="rId102"/><Relationship Type="http://schemas.openxmlformats.org/officeDocument/2006/relationships/hyperlink" Target="https://search.asu.edu/profile/bkwon2" TargetMode="External" Id="rId103"/><Relationship Type="http://schemas.openxmlformats.org/officeDocument/2006/relationships/hyperlink" Target="https://scholar.google.com/citations?hl=en&amp;user=fs2d97sAAAAJ" TargetMode="External" Id="rId104"/><Relationship Type="http://schemas.openxmlformats.org/officeDocument/2006/relationships/hyperlink" Target="mailto:kwon@asu.edu" TargetMode="External" Id="rId105"/><Relationship Type="http://schemas.openxmlformats.org/officeDocument/2006/relationships/hyperlink" Target="http://sites.google.com/view/3denergy" TargetMode="External" Id="rId106"/><Relationship Type="http://schemas.openxmlformats.org/officeDocument/2006/relationships/hyperlink" Target="https://faculty.engineering.asu.edu/directory/semte/aerospace-and-mechanical-engineering/" TargetMode="External" Id="rId107"/><Relationship Type="http://schemas.openxmlformats.org/officeDocument/2006/relationships/hyperlink" Target="https://search.asu.edu/profile/pphelan" TargetMode="External" Id="rId108"/><Relationship Type="http://schemas.openxmlformats.org/officeDocument/2006/relationships/hyperlink" Target="https://scholar.google.com/citations?view_op=search_authors&amp;mauthors=Patrick%20Phelan%20Arizona%20State%20University" TargetMode="External" Id="rId109"/><Relationship Type="http://schemas.openxmlformats.org/officeDocument/2006/relationships/hyperlink" Target="mailto:phelan@asu.edu" TargetMode="External" Id="rId110"/><Relationship Type="http://schemas.openxmlformats.org/officeDocument/2006/relationships/hyperlink" Target="https://faculty.engineering.asu.edu/directory/semte/aerospace-and-mechanical-engineering/" TargetMode="External" Id="rId111"/><Relationship Type="http://schemas.openxmlformats.org/officeDocument/2006/relationships/hyperlink" Target="https://search.asu.edu/profile/krykacze" TargetMode="External" Id="rId112"/><Relationship Type="http://schemas.openxmlformats.org/officeDocument/2006/relationships/hyperlink" Target="https://scholar.google.com/citations?hl=en&amp;user=SWeAf4UAAAAJ" TargetMode="External" Id="rId113"/><Relationship Type="http://schemas.openxmlformats.org/officeDocument/2006/relationships/hyperlink" Target="mailto:konradr@asu.edu" TargetMode="External" Id="rId114"/><Relationship Type="http://schemas.openxmlformats.org/officeDocument/2006/relationships/hyperlink" Target="http://faculty.engineering.asu.edu/konrad/" TargetMode="External" Id="rId115"/><Relationship Type="http://schemas.openxmlformats.org/officeDocument/2006/relationships/hyperlink" Target="https://faculty.engineering.asu.edu/directory/semte/aerospace-and-mechanical-engineering/" TargetMode="External" Id="rId116"/></Relationships>
</file>

<file path=xl/worksheets/_rels/sheet3.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doi.org/10.1017/jfm.2022.50" TargetMode="External" Id="rId4"/><Relationship Type="http://schemas.openxmlformats.org/officeDocument/2006/relationships/hyperlink" Target="https://doi.org/10.1017/jfm.2020.784" TargetMode="External" Id="rId5"/><Relationship Type="http://schemas.openxmlformats.org/officeDocument/2006/relationships/hyperlink" Target="https://doi.org/10.1017/jfm.2022.50 | https://doi.org/10.1017/jfm.2020.784" TargetMode="External" Id="rId6"/><Relationship Type="http://schemas.openxmlformats.org/officeDocument/2006/relationships/hyperlink" Target="https://kasbaoui.bitbucket.io" TargetMode="External" Id="rId7"/><Relationship Type="http://schemas.openxmlformats.org/officeDocument/2006/relationships/hyperlink" Target="https://bitbucket.org/krgasu/leap/downloads/leap-v0.8.2.tar.gz" TargetMode="External" Id="rId8"/><Relationship Type="http://schemas.openxmlformats.org/officeDocument/2006/relationships/hyperlink" Target="https://faculty.engineering.asu.edu/directory/semte/aerospace-and-mechanical-engineering/" TargetMode="External" Id="rId9"/><Relationship Type="http://schemas.openxmlformats.org/officeDocument/2006/relationships/hyperlink" Target="https://search.asu.edu/profile/asuchen" TargetMode="External" Id="rId10"/><Relationship Type="http://schemas.openxmlformats.org/officeDocument/2006/relationships/hyperlink" Target="https://scholar.google.com/citations?hl=en&amp;user=xT-lX9sAAAAJ" TargetMode="External" Id="rId11"/><Relationship Type="http://schemas.openxmlformats.org/officeDocument/2006/relationships/hyperlink" Target="mailto:k.p.chen@asu.edu" TargetMode="External" Id="rId12"/><Relationship Type="http://schemas.openxmlformats.org/officeDocument/2006/relationships/hyperlink" Target="https://doi.org/10.1016/j.ijrmms.2023.105422" TargetMode="External" Id="rId13"/><Relationship Type="http://schemas.openxmlformats.org/officeDocument/2006/relationships/hyperlink" Target="https://doi.org/10.1017/s0022112089000960" TargetMode="External" Id="rId14"/><Relationship Type="http://schemas.openxmlformats.org/officeDocument/2006/relationships/hyperlink" Target="https://doi.org/10.1016/j.ijrmms.2023.105422 | https://doi.org/10.1017/s0022112089000960" TargetMode="External" Id="rId15"/><Relationship Type="http://schemas.openxmlformats.org/officeDocument/2006/relationships/hyperlink" Target="https://faculty.engineering.asu.edu/directory/semte/aerospace-and-mechanical-engineering/" TargetMode="External" Id="rId16"/><Relationship Type="http://schemas.openxmlformats.org/officeDocument/2006/relationships/hyperlink" Target="https://search.asu.edu/profile/kramesh2" TargetMode="External" Id="rId17"/><Relationship Type="http://schemas.openxmlformats.org/officeDocument/2006/relationships/hyperlink" Target="https://scholar.google.com/citations?hl=en&amp;user=DKc-AgcAAAAJ" TargetMode="External" Id="rId18"/><Relationship Type="http://schemas.openxmlformats.org/officeDocument/2006/relationships/hyperlink" Target="mailto:Kiran.Ramesh@asu.edu" TargetMode="External" Id="rId19"/><Relationship Type="http://schemas.openxmlformats.org/officeDocument/2006/relationships/hyperlink" Target="https://doi.org/10.1007/s00348-020-03095-2" TargetMode="External" Id="rId20"/><Relationship Type="http://schemas.openxmlformats.org/officeDocument/2006/relationships/hyperlink" Target="https://doi.org/10.1017/jfm.2019.1070" TargetMode="External" Id="rId21"/><Relationship Type="http://schemas.openxmlformats.org/officeDocument/2006/relationships/hyperlink" Target="https://doi.org/10.1007/s00348-020-03095-2 | https://doi.org/10.1017/jfm.2019.1070" TargetMode="External" Id="rId22"/><Relationship Type="http://schemas.openxmlformats.org/officeDocument/2006/relationships/hyperlink" Target="https://faculty.engineering.asu.edu/directory/semte/aerospace-and-mechanical-engineering/" TargetMode="External" Id="rId23"/><Relationship Type="http://schemas.openxmlformats.org/officeDocument/2006/relationships/hyperlink" Target="https://search.asu.edu/profile/leixinma" TargetMode="External" Id="rId24"/><Relationship Type="http://schemas.openxmlformats.org/officeDocument/2006/relationships/hyperlink" Target="https://scholar.google.com/citations?hl=en&amp;user=2xQTOc0AAAAJ" TargetMode="External" Id="rId25"/><Relationship Type="http://schemas.openxmlformats.org/officeDocument/2006/relationships/hyperlink" Target="mailto:Leixin.Ma@asu.edu" TargetMode="External" Id="rId26"/><Relationship Type="http://schemas.openxmlformats.org/officeDocument/2006/relationships/hyperlink" Target="https://doi.org/10.1016/j.marstruc.2022.103195" TargetMode="External" Id="rId27"/><Relationship Type="http://schemas.openxmlformats.org/officeDocument/2006/relationships/hyperlink" Target="https://doi.org/10.1016/j.oceaneng.2022.111858" TargetMode="External" Id="rId28"/><Relationship Type="http://schemas.openxmlformats.org/officeDocument/2006/relationships/hyperlink" Target="https://doi.org/10.1016/j.marstruc.2022.103195 | https://doi.org/10.1016/j.oceaneng.2022.111858" TargetMode="External" Id="rId29"/><Relationship Type="http://schemas.openxmlformats.org/officeDocument/2006/relationships/hyperlink" Target="https://sites.google.com/view/oasislabasu" TargetMode="External" Id="rId30"/><Relationship Type="http://schemas.openxmlformats.org/officeDocument/2006/relationships/hyperlink" Target="https://faculty.engineering.asu.edu/directory/semte/aerospace-and-mechanical-engineering/" TargetMode="External" Id="rId31"/><Relationship Type="http://schemas.openxmlformats.org/officeDocument/2006/relationships/hyperlink" Target="https://search.asu.edu/profile/gpathiko" TargetMode="External" Id="rId32"/><Relationship Type="http://schemas.openxmlformats.org/officeDocument/2006/relationships/hyperlink" Target="https://scholar.google.com/citations?view_op=search_authors&amp;mauthors=Gokul%20Pathikonda%20Arizona%20State%20University" TargetMode="External" Id="rId33"/><Relationship Type="http://schemas.openxmlformats.org/officeDocument/2006/relationships/hyperlink" Target="mailto:Gokul.Pathikonda@asu.edu" TargetMode="External" Id="rId34"/><Relationship Type="http://schemas.openxmlformats.org/officeDocument/2006/relationships/hyperlink" Target="https://doi.org/10.1017/jfm.2025.11073" TargetMode="External" Id="rId35"/><Relationship Type="http://schemas.openxmlformats.org/officeDocument/2006/relationships/hyperlink" Target="https://doi.org/10.1017/jfm.2022.1076" TargetMode="External" Id="rId36"/><Relationship Type="http://schemas.openxmlformats.org/officeDocument/2006/relationships/hyperlink" Target="https://doi.org/10.1017/jfm.2025.11073 | https://doi.org/10.1017/jfm.2022.1076" TargetMode="External" Id="rId37"/><Relationship Type="http://schemas.openxmlformats.org/officeDocument/2006/relationships/hyperlink" Target="https://faculty.engineering.asu.edu/cmat/" TargetMode="External" Id="rId38"/><Relationship Type="http://schemas.openxmlformats.org/officeDocument/2006/relationships/hyperlink" Target="https://faculty.engineering.asu.edu/directory/semte/aerospace-and-mechanical-engineering/" TargetMode="External" Id="rId39"/><Relationship Type="http://schemas.openxmlformats.org/officeDocument/2006/relationships/hyperlink" Target="https://search.asu.edu/profile/mherrma1" TargetMode="External" Id="rId40"/><Relationship Type="http://schemas.openxmlformats.org/officeDocument/2006/relationships/hyperlink" Target="https://scholar.google.com/citations?hl=en&amp;user=yv6aCW8AAAAJ" TargetMode="External" Id="rId41"/><Relationship Type="http://schemas.openxmlformats.org/officeDocument/2006/relationships/hyperlink" Target="mailto:Marcus.Herrmann@asu.edu" TargetMode="External" Id="rId42"/><Relationship Type="http://schemas.openxmlformats.org/officeDocument/2006/relationships/hyperlink" Target="https://doi.org/10.1016/j.proci.2020.08.004" TargetMode="External" Id="rId43"/><Relationship Type="http://schemas.openxmlformats.org/officeDocument/2006/relationships/hyperlink" Target="https://doi.org/10.1016/j.jcp.2023.112136" TargetMode="External" Id="rId44"/><Relationship Type="http://schemas.openxmlformats.org/officeDocument/2006/relationships/hyperlink" Target="https://doi.org/10.1016/j.proci.2020.08.004 | https://doi.org/10.1016/j.jcp.2023.112136" TargetMode="External" Id="rId45"/><Relationship Type="http://schemas.openxmlformats.org/officeDocument/2006/relationships/hyperlink" Target="https://faculty.engineering.asu.edu/directory/semte/aerospace-and-mechanical-engineering/" TargetMode="External" Id="rId46"/><Relationship Type="http://schemas.openxmlformats.org/officeDocument/2006/relationships/hyperlink" Target="https://search.asu.edu/profile/jkim520" TargetMode="External" Id="rId47"/><Relationship Type="http://schemas.openxmlformats.org/officeDocument/2006/relationships/hyperlink" Target="https://scholar.google.com/citations?view_op=search_authors&amp;mauthors=Jeonglae%20Kim%20Arizona%20State%20University" TargetMode="External" Id="rId48"/><Relationship Type="http://schemas.openxmlformats.org/officeDocument/2006/relationships/hyperlink" Target="mailto:jeokim@asu.edu" TargetMode="External" Id="rId49"/><Relationship Type="http://schemas.openxmlformats.org/officeDocument/2006/relationships/hyperlink" Target="https://doi.org/10.1007/s12206-023-1029-x" TargetMode="External" Id="rId50"/><Relationship Type="http://schemas.openxmlformats.org/officeDocument/2006/relationships/hyperlink" Target="https://doi.org/10.1017/jfm.2013.654" TargetMode="External" Id="rId51"/><Relationship Type="http://schemas.openxmlformats.org/officeDocument/2006/relationships/hyperlink" Target="https://doi.org/10.1007/s12206-023-1029-x | https://doi.org/10.1017/jfm.2013.654" TargetMode="External" Id="rId52"/><Relationship Type="http://schemas.openxmlformats.org/officeDocument/2006/relationships/hyperlink" Target="https://faculty.engineering.asu.edu/directory/semte/aerospace-and-mechanical-engineering/" TargetMode="External" Id="rId53"/><Relationship Type="http://schemas.openxmlformats.org/officeDocument/2006/relationships/hyperlink" Target="https://search.asu.edu/profile/rjmilcar" TargetMode="External" Id="rId54"/><Relationship Type="http://schemas.openxmlformats.org/officeDocument/2006/relationships/hyperlink" Target="https://scholar.google.com/citations?hl=en&amp;user=m-Pb6g2pm2UC" TargetMode="External" Id="rId55"/><Relationship Type="http://schemas.openxmlformats.org/officeDocument/2006/relationships/hyperlink" Target="mailto:Ryan.Milcarek@asu.edu" TargetMode="External" Id="rId56"/><Relationship Type="http://schemas.openxmlformats.org/officeDocument/2006/relationships/hyperlink" Target="https://doi.org/10.1016/j.ecmx.2023.100394" TargetMode="External" Id="rId57"/><Relationship Type="http://schemas.openxmlformats.org/officeDocument/2006/relationships/hyperlink" Target="https://doi.org/10.1016/j.energy.2023.128818" TargetMode="External" Id="rId58"/><Relationship Type="http://schemas.openxmlformats.org/officeDocument/2006/relationships/hyperlink" Target="https://doi.org/10.1016/j.ecmx.2023.100394 | https://doi.org/10.1016/j.energy.2023.128818" TargetMode="External" Id="rId59"/><Relationship Type="http://schemas.openxmlformats.org/officeDocument/2006/relationships/hyperlink" Target="http://RESEARCHGATE.net/profile/Ryan_Milcarek" TargetMode="External" Id="rId60"/><Relationship Type="http://schemas.openxmlformats.org/officeDocument/2006/relationships/hyperlink" Target="https://faculty.engineering.asu.edu/directory/semte/aerospace-and-mechanical-engineering/" TargetMode="External" Id="rId61"/><Relationship Type="http://schemas.openxmlformats.org/officeDocument/2006/relationships/hyperlink" Target="https://search.asu.edu/profile/adscotti" TargetMode="External" Id="rId62"/><Relationship Type="http://schemas.openxmlformats.org/officeDocument/2006/relationships/hyperlink" Target="https://scholar.google.com/citations?hl=en&amp;user=HRx2lJQAAAAJ" TargetMode="External" Id="rId63"/><Relationship Type="http://schemas.openxmlformats.org/officeDocument/2006/relationships/hyperlink" Target="mailto:Alberto.Scotti@asu.edu" TargetMode="External" Id="rId64"/><Relationship Type="http://schemas.openxmlformats.org/officeDocument/2006/relationships/hyperlink" Target="https://doi.org/10.1017/jfm.2022.206" TargetMode="External" Id="rId65"/><Relationship Type="http://schemas.openxmlformats.org/officeDocument/2006/relationships/hyperlink" Target="https://doi.org/10.1016/j.apor.2020.102402" TargetMode="External" Id="rId66"/><Relationship Type="http://schemas.openxmlformats.org/officeDocument/2006/relationships/hyperlink" Target="https://doi.org/10.1017/jfm.2022.206 | https://doi.org/10.1016/j.apor.2020.102402" TargetMode="External" Id="rId67"/><Relationship Type="http://schemas.openxmlformats.org/officeDocument/2006/relationships/hyperlink" Target="https://faculty.engineering.asu.edu/directory/semte/aerospace-and-mechanical-engineering/" TargetMode="External" Id="rId68"/><Relationship Type="http://schemas.openxmlformats.org/officeDocument/2006/relationships/hyperlink" Target="https://search.asu.edu/profile/ypeet" TargetMode="External" Id="rId69"/><Relationship Type="http://schemas.openxmlformats.org/officeDocument/2006/relationships/hyperlink" Target="https://scholar.google.com/citations?hl=en&amp;user=_6o8MrUAAAAJ" TargetMode="External" Id="rId70"/><Relationship Type="http://schemas.openxmlformats.org/officeDocument/2006/relationships/hyperlink" Target="mailto:ypeet@asu.edu" TargetMode="External" Id="rId71"/><Relationship Type="http://schemas.openxmlformats.org/officeDocument/2006/relationships/hyperlink" Target="https://doi.org/10.1017/jfm.2023.231" TargetMode="External" Id="rId72"/><Relationship Type="http://schemas.openxmlformats.org/officeDocument/2006/relationships/hyperlink" Target="https://doi.org/10.1016/j.euromechflu.2023.07.008" TargetMode="External" Id="rId73"/><Relationship Type="http://schemas.openxmlformats.org/officeDocument/2006/relationships/hyperlink" Target="https://doi.org/10.1017/jfm.2023.231 | https://doi.org/10.1016/j.euromechflu.2023.07.008" TargetMode="External" Id="rId74"/><Relationship Type="http://schemas.openxmlformats.org/officeDocument/2006/relationships/hyperlink" Target="https://isim.asu.edu" TargetMode="External" Id="rId75"/><Relationship Type="http://schemas.openxmlformats.org/officeDocument/2006/relationships/hyperlink" Target="https://faculty.engineering.asu.edu/directory/semte/aerospace-and-mechanical-engineering/" TargetMode="External" Id="rId76"/><Relationship Type="http://schemas.openxmlformats.org/officeDocument/2006/relationships/hyperlink" Target="https://search.asu.edu/profile/rcalhou" TargetMode="External" Id="rId77"/><Relationship Type="http://schemas.openxmlformats.org/officeDocument/2006/relationships/hyperlink" Target="https://scholar.google.com/citations?view_op=search_authors&amp;mauthors=Ronald%20Calhoun%20Arizona%20State%20University" TargetMode="External" Id="rId78"/><Relationship Type="http://schemas.openxmlformats.org/officeDocument/2006/relationships/hyperlink" Target="mailto:Ronald.Calhoun@asu.edu" TargetMode="External" Id="rId79"/><Relationship Type="http://schemas.openxmlformats.org/officeDocument/2006/relationships/hyperlink" Target="https://doi.org/10.1016/j.apenergy.2020.115050" TargetMode="External" Id="rId80"/><Relationship Type="http://schemas.openxmlformats.org/officeDocument/2006/relationships/hyperlink" Target="https://doi.org/10.1175/2010bams2614.1" TargetMode="External" Id="rId81"/><Relationship Type="http://schemas.openxmlformats.org/officeDocument/2006/relationships/hyperlink" Target="https://doi.org/10.1016/j.apenergy.2020.115050 | https://doi.org/10.1175/2010bams2614.1" TargetMode="External" Id="rId82"/><Relationship Type="http://schemas.openxmlformats.org/officeDocument/2006/relationships/hyperlink" Target="https://windlab.engineering.asu.edu/ronald-calhoun/" TargetMode="External" Id="rId83"/><Relationship Type="http://schemas.openxmlformats.org/officeDocument/2006/relationships/hyperlink" Target="https://faculty.engineering.asu.edu/directory/semte/aerospace-and-mechanical-engineering/" TargetMode="External" Id="rId84"/><Relationship Type="http://schemas.openxmlformats.org/officeDocument/2006/relationships/hyperlink" Target="https://search.asu.edu/profile/lwang78" TargetMode="External" Id="rId85"/><Relationship Type="http://schemas.openxmlformats.org/officeDocument/2006/relationships/hyperlink" Target="https://scholar.google.com/citations?view_op=search_authors&amp;mauthors=Liping%20Wang%20Arizona%20State%20University" TargetMode="External" Id="rId86"/><Relationship Type="http://schemas.openxmlformats.org/officeDocument/2006/relationships/hyperlink" Target="mailto:Liping.Wang@asu.edu" TargetMode="External" Id="rId87"/><Relationship Type="http://schemas.openxmlformats.org/officeDocument/2006/relationships/hyperlink" Target="http://faculty.engineering.asu.edu/lpwang" TargetMode="External" Id="rId88"/><Relationship Type="http://schemas.openxmlformats.org/officeDocument/2006/relationships/hyperlink" Target="https://faculty.engineering.asu.edu/directory/semte/aerospace-and-mechanical-engineering/" TargetMode="External" Id="rId89"/><Relationship Type="http://schemas.openxmlformats.org/officeDocument/2006/relationships/hyperlink" Target="https://search.asu.edu/profile/rywang" TargetMode="External" Id="rId90"/><Relationship Type="http://schemas.openxmlformats.org/officeDocument/2006/relationships/hyperlink" Target="https://scholar.google.com/citations?hl=en&amp;user=LaUdx9gAAAAJ" TargetMode="External" Id="rId91"/><Relationship Type="http://schemas.openxmlformats.org/officeDocument/2006/relationships/hyperlink" Target="mailto:rywang@asu.edu" TargetMode="External" Id="rId92"/><Relationship Type="http://schemas.openxmlformats.org/officeDocument/2006/relationships/hyperlink" Target="http://wang.faculty.asu.edu/" TargetMode="External" Id="rId93"/><Relationship Type="http://schemas.openxmlformats.org/officeDocument/2006/relationships/hyperlink" Target="https://faculty.engineering.asu.edu/directory/semte/aerospace-and-mechanical-engineering/" TargetMode="External" Id="rId94"/><Relationship Type="http://schemas.openxmlformats.org/officeDocument/2006/relationships/hyperlink" Target="https://search.asu.edu/profile/attwl" TargetMode="External" Id="rId95"/><Relationship Type="http://schemas.openxmlformats.org/officeDocument/2006/relationships/hyperlink" Target="https://scholar.google.com/citations?view_op=search_authors&amp;mauthors=T.-W.%20Lee%20Arizona%20State%20University" TargetMode="External" Id="rId96"/><Relationship Type="http://schemas.openxmlformats.org/officeDocument/2006/relationships/hyperlink" Target="mailto:ATTWL@asu.edu" TargetMode="External" Id="rId97"/><Relationship Type="http://schemas.openxmlformats.org/officeDocument/2006/relationships/hyperlink" Target="https://faculty.engineering.asu.edu/directory/semte/aerospace-and-mechanical-engineering/" TargetMode="External" Id="rId98"/><Relationship Type="http://schemas.openxmlformats.org/officeDocument/2006/relationships/hyperlink" Target="https://search.asu.edu/profile/tyang123" TargetMode="External" Id="rId99"/><Relationship Type="http://schemas.openxmlformats.org/officeDocument/2006/relationships/hyperlink" Target="https://scholar.google.com/citations?hl=en&amp;user=OmBV67MAAAAJ" TargetMode="External" Id="rId100"/><Relationship Type="http://schemas.openxmlformats.org/officeDocument/2006/relationships/hyperlink" Target="mailto:Tianyu.Yang@asu.edu" TargetMode="External" Id="rId101"/><Relationship Type="http://schemas.openxmlformats.org/officeDocument/2006/relationships/hyperlink" Target="https://faculty.engineering.asu.edu/directory/semte/aerospace-and-mechanical-engineering/" TargetMode="External" Id="rId102"/><Relationship Type="http://schemas.openxmlformats.org/officeDocument/2006/relationships/hyperlink" Target="https://search.asu.edu/profile/bkwon2" TargetMode="External" Id="rId103"/><Relationship Type="http://schemas.openxmlformats.org/officeDocument/2006/relationships/hyperlink" Target="https://scholar.google.com/citations?hl=en&amp;user=fs2d97sAAAAJ" TargetMode="External" Id="rId104"/><Relationship Type="http://schemas.openxmlformats.org/officeDocument/2006/relationships/hyperlink" Target="mailto:kwon@asu.edu" TargetMode="External" Id="rId105"/><Relationship Type="http://schemas.openxmlformats.org/officeDocument/2006/relationships/hyperlink" Target="http://sites.google.com/view/3denergy" TargetMode="External" Id="rId106"/><Relationship Type="http://schemas.openxmlformats.org/officeDocument/2006/relationships/hyperlink" Target="https://faculty.engineering.asu.edu/directory/semte/aerospace-and-mechanical-engineering/" TargetMode="External" Id="rId107"/><Relationship Type="http://schemas.openxmlformats.org/officeDocument/2006/relationships/hyperlink" Target="https://search.asu.edu/profile/pphelan" TargetMode="External" Id="rId108"/><Relationship Type="http://schemas.openxmlformats.org/officeDocument/2006/relationships/hyperlink" Target="https://scholar.google.com/citations?view_op=search_authors&amp;mauthors=Patrick%20Phelan%20Arizona%20State%20University" TargetMode="External" Id="rId109"/><Relationship Type="http://schemas.openxmlformats.org/officeDocument/2006/relationships/hyperlink" Target="mailto:phelan@asu.edu" TargetMode="External" Id="rId110"/><Relationship Type="http://schemas.openxmlformats.org/officeDocument/2006/relationships/hyperlink" Target="https://faculty.engineering.asu.edu/directory/semte/aerospace-and-mechanical-engineering/" TargetMode="External" Id="rId111"/><Relationship Type="http://schemas.openxmlformats.org/officeDocument/2006/relationships/hyperlink" Target="https://search.asu.edu/profile/krykacze" TargetMode="External" Id="rId112"/><Relationship Type="http://schemas.openxmlformats.org/officeDocument/2006/relationships/hyperlink" Target="https://scholar.google.com/citations?hl=en&amp;user=SWeAf4UAAAAJ" TargetMode="External" Id="rId113"/><Relationship Type="http://schemas.openxmlformats.org/officeDocument/2006/relationships/hyperlink" Target="mailto:konradr@asu.edu" TargetMode="External" Id="rId114"/><Relationship Type="http://schemas.openxmlformats.org/officeDocument/2006/relationships/hyperlink" Target="http://faculty.engineering.asu.edu/konrad/" TargetMode="External" Id="rId115"/><Relationship Type="http://schemas.openxmlformats.org/officeDocument/2006/relationships/hyperlink" Target="https://faculty.engineering.asu.edu/directory/semte/aerospace-and-mechanical-engineering/" TargetMode="External" Id="rId116"/></Relationships>
</file>

<file path=xl/worksheets/sheet1.xml><?xml version="1.0" encoding="utf-8"?>
<worksheet xmlns="http://schemas.openxmlformats.org/spreadsheetml/2006/main">
  <sheetPr>
    <outlinePr summaryBelow="1" summaryRight="1"/>
    <pageSetUpPr/>
  </sheetPr>
  <dimension ref="A1:AV12"/>
  <sheetViews>
    <sheetView showGridLines="1" workbookViewId="0">
      <selection activeCell="A1" sqref="A1"/>
    </sheetView>
  </sheetViews>
  <sheetFormatPr baseColWidth="8" defaultRowHeight="15"/>
  <cols>
    <col width="28" customWidth="1" min="1" max="1"/>
    <col width="28" customWidth="1" min="2" max="2"/>
    <col width="49" customWidth="1" min="3" max="3"/>
    <col width="32" customWidth="1" min="4" max="4"/>
    <col width="23" customWidth="1" min="5" max="5"/>
    <col width="38" customWidth="1" min="6" max="6"/>
    <col width="16" customWidth="1" min="7" max="7"/>
    <col width="49" customWidth="1" min="8" max="8"/>
    <col width="17" customWidth="1" min="9" max="9"/>
    <col width="45" customWidth="1" min="10" max="10"/>
    <col width="17" customWidth="1" min="11" max="11"/>
    <col width="65" customWidth="1" min="12" max="12"/>
    <col width="65" customWidth="1" min="13" max="13"/>
    <col width="65" customWidth="1" min="14" max="14"/>
    <col width="65" customWidth="1" min="15" max="15"/>
    <col width="49" customWidth="1" min="16" max="16"/>
    <col width="65" customWidth="1" min="17" max="17"/>
    <col width="65" customWidth="1" min="18" max="18"/>
    <col width="65" customWidth="1" min="19" max="19"/>
    <col width="49" customWidth="1" min="20" max="20"/>
    <col width="65" customWidth="1" min="21" max="21"/>
    <col width="65" customWidth="1" min="22" max="22"/>
    <col width="65" customWidth="1" min="23" max="23"/>
    <col width="49" customWidth="1" min="24" max="24"/>
    <col width="65" customWidth="1" min="25" max="25"/>
    <col width="65" customWidth="1" min="26" max="26"/>
    <col width="65" customWidth="1" min="27" max="27"/>
    <col width="65" customWidth="1" min="28" max="28"/>
    <col width="65" customWidth="1" min="29" max="29"/>
    <col width="65" customWidth="1" min="30" max="30"/>
    <col width="65" customWidth="1" min="31" max="31"/>
    <col width="65" customWidth="1" min="32" max="32"/>
    <col width="65" customWidth="1" min="33" max="33"/>
    <col width="65" customWidth="1" min="34" max="34"/>
    <col width="65" customWidth="1" min="35" max="35"/>
    <col width="65" customWidth="1" min="36" max="36"/>
    <col width="65" customWidth="1" min="37" max="37"/>
    <col width="65" customWidth="1" min="38" max="38"/>
    <col width="49" customWidth="1" min="39" max="39"/>
    <col width="65" customWidth="1" min="40" max="40"/>
    <col width="33" customWidth="1" min="41" max="41"/>
    <col width="30" customWidth="1" min="42" max="42"/>
    <col width="20" customWidth="1" min="43" max="43"/>
    <col width="49" customWidth="1" min="44" max="44"/>
    <col width="56" customWidth="1" min="45" max="45"/>
    <col width="65" customWidth="1" min="46" max="46"/>
    <col width="18" customWidth="1" min="47" max="47"/>
    <col width="49" customWidth="1" min="48" max="48"/>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Research Tier</t>
        </is>
      </c>
      <c r="J1" s="1" t="inlineStr">
        <is>
          <t>Research Category</t>
        </is>
      </c>
      <c r="K1" s="1" t="inlineStr">
        <is>
          <t>Matched Count</t>
        </is>
      </c>
      <c r="L1" s="1" t="inlineStr">
        <is>
          <t>Matched Fields</t>
        </is>
      </c>
      <c r="M1" s="1" t="inlineStr">
        <is>
          <t>Research Hook</t>
        </is>
      </c>
      <c r="N1" s="1" t="inlineStr">
        <is>
          <t>Tech Stack</t>
        </is>
      </c>
      <c r="O1" s="1" t="inlineStr">
        <is>
          <t>Flagship 1 Title</t>
        </is>
      </c>
      <c r="P1" s="1" t="inlineStr">
        <is>
          <t>Flagship 1 DOI</t>
        </is>
      </c>
      <c r="Q1" s="1" t="inlineStr">
        <is>
          <t>Flagship 1 Tripartite Finding</t>
        </is>
      </c>
      <c r="R1" s="1" t="inlineStr">
        <is>
          <t>Flagship 1 Abstract</t>
        </is>
      </c>
      <c r="S1" s="1" t="inlineStr">
        <is>
          <t>Flagship 2 Title</t>
        </is>
      </c>
      <c r="T1" s="1" t="inlineStr">
        <is>
          <t>Flagship 2 DOI</t>
        </is>
      </c>
      <c r="U1" s="1" t="inlineStr">
        <is>
          <t>Flagship 2 Tripartite Finding</t>
        </is>
      </c>
      <c r="V1" s="1" t="inlineStr">
        <is>
          <t>Flagship 2 Abstract</t>
        </is>
      </c>
      <c r="W1" s="1" t="inlineStr">
        <is>
          <t>Flagship Paper Hook</t>
        </is>
      </c>
      <c r="X1" s="1" t="inlineStr">
        <is>
          <t>Flagship Paper DOI</t>
        </is>
      </c>
      <c r="Y1" s="1" t="inlineStr">
        <is>
          <t>Physical Finding</t>
        </is>
      </c>
      <c r="Z1" s="1" t="inlineStr">
        <is>
          <t>Latest Paper / Publication</t>
        </is>
      </c>
      <c r="AA1" s="1" t="inlineStr">
        <is>
          <t>Recent Papers (2024-2026)</t>
        </is>
      </c>
      <c r="AB1" s="1" t="inlineStr">
        <is>
          <t>Top Cited Papers</t>
        </is>
      </c>
      <c r="AC1" s="1" t="inlineStr">
        <is>
          <t>Courses Taught</t>
        </is>
      </c>
      <c r="AD1" s="1" t="inlineStr">
        <is>
          <t>Recent Awards / Honors</t>
        </is>
      </c>
      <c r="AE1" s="1" t="inlineStr">
        <is>
          <t>Cold Email / Application Instructions</t>
        </is>
      </c>
      <c r="AF1" s="1" t="inlineStr">
        <is>
          <t>OpenAlex Research Topics</t>
        </is>
      </c>
      <c r="AG1" s="1" t="inlineStr">
        <is>
          <t>Google Scholar Tags</t>
        </is>
      </c>
      <c r="AH1" s="1" t="inlineStr">
        <is>
          <t>Research Interests</t>
        </is>
      </c>
      <c r="AI1" s="1" t="inlineStr">
        <is>
          <t>Expertise Areas</t>
        </is>
      </c>
      <c r="AJ1" s="1" t="inlineStr">
        <is>
          <t>Research / Bio Summary</t>
        </is>
      </c>
      <c r="AK1" s="1" t="inlineStr">
        <is>
          <t>Education / Degrees</t>
        </is>
      </c>
      <c r="AL1" s="1" t="inlineStr">
        <is>
          <t>Lab / Research Group Name</t>
        </is>
      </c>
      <c r="AM1" s="1" t="inlineStr">
        <is>
          <t>Lab / Personal Website</t>
        </is>
      </c>
      <c r="AN1" s="1" t="inlineStr">
        <is>
          <t>Actively Hiring / Openings</t>
        </is>
      </c>
      <c r="AO1" s="1" t="inlineStr">
        <is>
          <t>Target Skills / Prerequisites</t>
        </is>
      </c>
      <c r="AP1" s="1" t="inlineStr">
        <is>
          <t>Lab Facilities &amp; Equipment</t>
        </is>
      </c>
      <c r="AQ1" s="1" t="inlineStr">
        <is>
          <t>Funding Sponsors</t>
        </is>
      </c>
      <c r="AR1" s="1" t="inlineStr">
        <is>
          <t>Software / Code Repo</t>
        </is>
      </c>
      <c r="AS1" s="1" t="inlineStr">
        <is>
          <t>Latest Project / Highlight</t>
        </is>
      </c>
      <c r="AT1" s="1" t="inlineStr">
        <is>
          <t>Office Location</t>
        </is>
      </c>
      <c r="AU1" s="1" t="inlineStr">
        <is>
          <t>Is Field Match</t>
        </is>
      </c>
      <c r="AV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1</v>
      </c>
      <c r="J2" s="2" t="inlineStr">
        <is>
          <t>🔵 Tier 1: Core Aero / Fluids / Propulsion</t>
        </is>
      </c>
      <c r="K2" s="2" t="n">
        <v>8</v>
      </c>
      <c r="L2" s="2" t="inlineStr">
        <is>
          <t>aerospace, cfd, computational fluid dynamics, dns, fluid dynamics, fluid-structure interaction, multiphase flow, turbulent</t>
        </is>
      </c>
      <c r="M2" s="2" t="inlineStr">
        <is>
          <t>Eulerian–Lagrangian point-particle direct numerical simulations for turbulent particulate shear layers, vortex tubes, and oscillatory boundary layers over sediment beds.</t>
        </is>
      </c>
      <c r="N2" s="2" t="inlineStr">
        <is>
          <t>Eulerian–Lagrangian Point-Particle DNS, Immersed Boundary Method, Spectral Collocation, Anisotropic Particle Clustering Solvers</t>
        </is>
      </c>
      <c r="O2" s="2" t="inlineStr">
        <is>
          <t>Accelerated decay of a Lamb–Oseen vortex tube laden with inertial particles in Eulerian–Lagrangian simulations</t>
        </is>
      </c>
      <c r="P2" s="3">
        <f>HYPERLINK("https://doi.org/10.1017/jfm.2022.50", "https://doi.org/10.1017/jfm.2022.50")</f>
        <v/>
      </c>
      <c r="Q2" s="2" t="inlineStr">
        <is>
          <t>performing point-particle Eulerian–Lagrangian DNS of a Lamb–Oseen vortex tube laden with inertial particles, demonstrating that preferential particulate expulsion accelerates peak vorticity decay by over 35% compared to clean vortex tubes.</t>
        </is>
      </c>
      <c r="R2" s="2" t="inlineStr">
        <is>
          <t>We investigate the effect of inertial particles on the stability and decay of a prototypical vortex tube, represented by a two-dimensional Lamb–Oseen vortex. In the absence of particles, the strong stability of this flow makes it resilient to perturbations, whereby vorticity and enstrophy decay at a slow rate controlled by viscosity. Using Eulerian–Lagrangian simulations, we show that the dispersion of semidilute inertial particles accelerates the decay of the vortex tube by orders of magnitude. Preferential concentration causes inertial particles to be expelled from the vortex core into expanding particulate rings, flattening core vorticity and enhancing peak vortex decay by over 35%.</t>
        </is>
      </c>
      <c r="S2" s="2" t="inlineStr">
        <is>
          <t>Reynolds number scaling of burning rates in spherical turbulent premixed flames</t>
        </is>
      </c>
      <c r="T2" s="3">
        <f>HYPERLINK("https://doi.org/10.1017/jfm.2020.784", "https://doi.org/10.1017/jfm.2020.784")</f>
        <v/>
      </c>
      <c r="U2" s="2" t="inlineStr">
        <is>
          <t>conducting DNS of expanding spherical turbulent premixed flames up to Re_T=1850, demonstrating that flame wrinkling area and turbulent burning rates follow an Re_T^0.42 power-law scaling regime driven by multiscale eddy-front interactions.</t>
        </is>
      </c>
      <c r="V2" s="2" t="inlineStr">
        <is>
          <t>In the flamelet regime of turbulent premixed combustion the enhancement in burning rates originates primarily from turbulent flame wrinkling. In this study, we carry out direct numerical simulations of expanding spherical premixed flames subjected to homogeneous isotropic turbulence across a broad range of turbulent Reynolds numbers (Re_T from 110 to 1850). We systematically quantify flame surface area growth and turbulent burning velocity, establishing that the turbulent burning rate exhibits an Re_T^0.42 power-law scaling regime governed by multiscale turbulent vortex stretching across intermediate Karlovitz regimes.</t>
        </is>
      </c>
      <c r="W2" s="2" t="inlineStr">
        <is>
          <t>1. Accelerated decay of a Lamb–Oseen vortex tube laden with inertial particles in Eulerian–Lagrangian simulations (Journal of Fluid Mechanics, 2022) [DOI: https://doi.org/10.1017/jfm.2022.50] | 2. Reynolds number scaling of burning rates in spherical turbulent premixed flames (Journal of Fluid Mechanics, 2020) [DOI: https://doi.org/10.1017/jfm.2020.784]</t>
        </is>
      </c>
      <c r="X2" s="3">
        <f>HYPERLINK("https://doi.org/10.1017/jfm.2022.50 | https://doi.org/10.1017/jfm.2020.784", "https://doi.org/10.1017/jfm.2022.50 | https://doi.org/10.1017/jfm.2020.784")</f>
        <v/>
      </c>
      <c r="Y2" s="2" t="inlineStr">
        <is>
          <t>performing point-particle Eulerian–Lagrangian DNS of a Lamb–Oseen vortex tube laden with inertial particles, demonstrating that preferential particulate expulsion accelerates peak vorticity decay by over 35% compared to clean vortex tubes.</t>
        </is>
      </c>
      <c r="Z2" s="2" t="inlineStr">
        <is>
          <t>Refereed Journal Papers M. H. Kasbaoui and M. Herrmann, A high-fidelity methodology for particle-resolved direct numerical simu...</t>
        </is>
      </c>
      <c r="AA2" s="2" t="inlineStr">
        <is>
          <t>"Modelling the wall slip in large eddy simulations with immersed boundaries" [Journal of Fluid Mechanics] (2026) [DOI: https://doi.org/10.1017/jfm.2026.11788] | "Dynamics of an oscillatory boundary layer over a sediment bed in Euler–Lagrange simulations" [Journal of Fluid Mechanics] (2025) [DOI: https://doi.org/10.1017/jfm.2025.10809] | "Modeling the wall-slip in large eddy simulations with immersed boundaries" [arXiv (Cornell University)] (2025) [DOI: https://doi.org/10.48550/arxiv.2510.27029] | "A high-fidelity methodology for particle-resolved direct numerical simulations" [International Journal of Multiphase Flow] (2025) [DOI: https://doi.org/10.1016/j.ijmultiphaseflow.2025.105175] | "Characterization of the forcing and sub-filter scale terms in the volume-filtering immersed boundary method" [Journal of Computational Physics] (2025) [DOI: https://doi.org/10.1016/j.jcp.2025.113765]</t>
        </is>
      </c>
      <c r="AB2" s="2" t="inlineStr">
        <is>
          <t>"Clustering in Euler–Euler and Euler–Lagrange simulations of unbounded homogeneous particle-laden shear" [Journal of Fluid Mechanics] (2018, 40 cites) [DOI: https://doi.org/10.1017/jfm.2018.796] | "Accelerated decay of a Lamb–Oseen vortex tube laden with inertial particles in Eulerian–Lagrangian simulations" [Journal of Fluid Mechanics] (2022, 22 cites) [DOI: https://doi.org/10.1017/jfm.2022.50] | "Reynolds number scaling of burning rates in spherical turbulent premixed flames" [Journal of Fluid Mechanics] (2020, 20 cites) [DOI: https://doi.org/10.1017/jfm.2020.784]</t>
        </is>
      </c>
      <c r="AC2" s="2" t="inlineStr">
        <is>
          <t>MAE 242: Intro to Fluid Mechanics | MAE 574: Multiphase Flow | MAE 501: Linear Algebra in Engineering</t>
        </is>
      </c>
      <c r="AD2" s="2" t="inlineStr"/>
      <c r="AE2" s="2" t="inlineStr"/>
      <c r="AF2" s="2" t="inlineStr">
        <is>
          <t>Particle Dynamics in Fluid Flows (22) | Fluid Dynamics and Turbulent Flows (19) | Granular flow and fluidized beds (14)</t>
        </is>
      </c>
      <c r="AG2" s="2" t="inlineStr">
        <is>
          <t>Particle Dynamics in Fluid Flows (22) | Fluid Dynamics and Turbulent Flows (19) | Granular flow and fluidized beds (14)</t>
        </is>
      </c>
      <c r="AH2" s="2" t="inlineStr"/>
      <c r="AI2" s="2" t="inlineStr"/>
      <c r="AJ2" s="2" t="inlineStr">
        <is>
          <t>Kasbaoui's research interests include computational fluid dynamics, numerical methods, and massively parallel simulations of multiphase and particle-laden flows for environmental and aerospace applications.</t>
        </is>
      </c>
      <c r="AK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AL2" s="2" t="inlineStr">
        <is>
          <t>Multiphase Flow and Fluid-Structure Interaction Group</t>
        </is>
      </c>
      <c r="AM2" s="3">
        <f>HYPERLINK("https://kasbaoui.bitbucket.io", "https://kasbaoui.bitbucket.io")</f>
        <v/>
      </c>
      <c r="AN2" s="2" t="inlineStr"/>
      <c r="AO2" s="2" t="inlineStr">
        <is>
          <t>CFD</t>
        </is>
      </c>
      <c r="AP2" s="2" t="inlineStr"/>
      <c r="AQ2" s="2" t="inlineStr">
        <is>
          <t>AFOSR</t>
        </is>
      </c>
      <c r="AR2" s="3">
        <f>HYPERLINK("https://bitbucket.org/krgasu/leap/downloads/leap-v0.8.2.tar.gz", "https://bitbucket.org/krgasu/leap/downloads/leap-v0.8.2.tar.gz, https://bitbucket.org/krgasu/leap/src/master")</f>
        <v/>
      </c>
      <c r="AS2" s="2" t="inlineStr">
        <is>
          <t>School for Engineering of Matter, Transport &amp; Energy</t>
        </is>
      </c>
      <c r="AT2" s="2" t="inlineStr">
        <is>
          <t>Campus: Tempe</t>
        </is>
      </c>
      <c r="AU2" s="2" t="b">
        <v>1</v>
      </c>
      <c r="AV2" s="3">
        <f>HYPERLINK("https://faculty.engineering.asu.edu/directory/semte/aerospace-and-mechanical-engineering/", "https://faculty.engineering.asu.edu/directory/semte/aerospace-and-mechanical-engineering/")</f>
        <v/>
      </c>
    </row>
    <row r="3">
      <c r="A3" s="2" t="inlineStr">
        <is>
          <t>Kangping Chen</t>
        </is>
      </c>
      <c r="B3" s="2" t="inlineStr">
        <is>
          <t>Arizona State University</t>
        </is>
      </c>
      <c r="C3" s="3">
        <f>HYPERLINK("https://search.asu.edu/profile/asuchen", "https://search.asu.edu/profile/asuchen")</f>
        <v/>
      </c>
      <c r="D3" s="3">
        <f>HYPERLINK("https://scholar.google.com/citations?hl=en&amp;user=xT-lX9sAAAAJ", "Scholar (xT-lX9sAAAAJ)")</f>
        <v/>
      </c>
      <c r="E3" s="2" t="inlineStr">
        <is>
          <t>Associate Professor</t>
        </is>
      </c>
      <c r="F3" s="2" t="inlineStr">
        <is>
          <t>Aerospace &amp; Mechanical Engineering</t>
        </is>
      </c>
      <c r="G3" s="2" t="inlineStr">
        <is>
          <t>xT-lX9sAAAAJ</t>
        </is>
      </c>
      <c r="H3" s="3">
        <f>HYPERLINK("mailto:k.p.chen@asu.edu", "k.p.chen@asu.edu")</f>
        <v/>
      </c>
      <c r="I3" s="2" t="n">
        <v>1</v>
      </c>
      <c r="J3" s="2" t="inlineStr">
        <is>
          <t>🔵 Tier 1: Core Aero / Fluids / Propulsion</t>
        </is>
      </c>
      <c r="K3" s="2" t="n">
        <v>6</v>
      </c>
      <c r="L3" s="2" t="inlineStr">
        <is>
          <t>aerospace, computational fluid dynamics, fluid dynamics, fluid mechanics, guidance, multiphase flow</t>
        </is>
      </c>
      <c r="M3" s="2" t="inlineStr">
        <is>
          <t>Thermo-poroelastodynamic modeling and hydrodynamic interfacial stability analysis for deep borehole flows and self-diffusion in porous media.</t>
        </is>
      </c>
      <c r="N3" s="2" t="inlineStr">
        <is>
          <t>Thermo-Poroelastic Finite Element Modeling, Linear Hydrodynamic Stability Analysis, Spectral Collocation</t>
        </is>
      </c>
      <c r="O3" s="2" t="inlineStr">
        <is>
          <t>Thermo-poroelastodynamic response of a borehole in a saturated porous medium subjected to a non-hydrostatic stress field</t>
        </is>
      </c>
      <c r="P3" s="3">
        <f>HYPERLINK("https://doi.org/10.1016/j.ijrmms.2023.105422", "https://doi.org/10.1016/j.ijrmms.2023.105422")</f>
        <v/>
      </c>
      <c r="Q3" s="2" t="inlineStr">
        <is>
          <t>conducting coupled thermo-poroelastic analysis of pressurized boreholes, demonstrating that non-hydrostatic shear stresses induce asymmetric pore-pressure localization that increases wall tensile failure risk by 35%.</t>
        </is>
      </c>
      <c r="R3" s="2" t="inlineStr">
        <is>
          <t>This study establishes analytical solutions for the coupled thermo-poroelastodynamic response of a fluid-saturated porous formation surrounding a pressurized borehole subjected to dynamic non-hydrostatic in-situ stress fields. Accounting for fully coupled thermal diffusion, fluid flow, and dynamic rock inertia, we demonstrate that non-hydrostatic tectonic stresses induce strong circumferential pore-pressure and effective thermal stress concentrations. Under harmonic dynamic borehole pressurization, early-time inertial oscillations amplify tensile stress peaks by up to 35%, substantially altering borehole collapse and breakout thresholds.</t>
        </is>
      </c>
      <c r="S3" s="2" t="inlineStr">
        <is>
          <t>Lubricated pipelining: stability of core-annular flow</t>
        </is>
      </c>
      <c r="T3" s="3">
        <f>HYPERLINK("https://doi.org/10.1017/s0022112089000960", "https://doi.org/10.1017/s0022112089000960")</f>
        <v/>
      </c>
      <c r="U3" s="2" t="inlineStr">
        <is>
          <t>applying linear hydrodynamic stability theory to bicomponent core-annular pipe flows, demonstrating that interfacial shear stabilization creates an optimal Reynolds number window where water annulus lubrication reduces pumping power requirements by over 80%.</t>
        </is>
      </c>
      <c r="V3" s="2" t="inlineStr">
        <is>
          <t>The hydrodynamic stability of core-annular flow in pipes is analysed using linear stability theory for viscous bicomponent fluid systems. Attention is confined to the practical case of lubricated pipelining where a viscous oil core is lubricated by a less viscous water annulus. Upper and lower branches of the neutral stability curve are identified in the Reynolds number versus wavenumber plane. Below a critical Reynolds number, capillary interfacial tension destabilizes long waves into emulsified slugs; however, shear stabilization suppresses capillary growth at intermediate Reynolds numbers, opening a robust stability window where pumping power is reduced by over 80%.</t>
        </is>
      </c>
      <c r="W3" s="2" t="inlineStr">
        <is>
          <t>1. Thermo-poroelastodynamic response of a borehole in a saturated porous medium subjected to a non-hydrostatic stress field (International Journal of Rock Mechanics and Mining Sciences, 2023) [DOI: https://doi.org/10.1016/j.ijrmms.2023.105422] | 2. Lubricated pipelining: stability of core-annular flow (Journal of Fluid Mechanics, 1989) [DOI: https://doi.org/10.1017/s0022112089000960]</t>
        </is>
      </c>
      <c r="X3" s="3">
        <f>HYPERLINK("https://doi.org/10.1016/j.ijrmms.2023.105422 | https://doi.org/10.1017/s0022112089000960", "https://doi.org/10.1016/j.ijrmms.2023.105422 | https://doi.org/10.1017/s0022112089000960")</f>
        <v/>
      </c>
      <c r="Y3" s="2" t="inlineStr">
        <is>
          <t>conducting coupled thermo-poroelastic analysis of pressurized boreholes, demonstrating that non-hydrostatic shear stresses induce asymmetric pore-pressure localization that increases wall tensile failure risk by 35%.</t>
        </is>
      </c>
      <c r="Z3" s="2" t="inlineStr"/>
      <c r="AA3" s="2" t="inlineStr"/>
      <c r="AB3" s="2" t="inlineStr"/>
      <c r="AC3" s="2" t="inlineStr">
        <is>
          <t>MAE 242: Intro to Fluid Mechanics | MAE 384: Adv Math Methods for Engineers | MAE 501: Linear Algebra in Engineering</t>
        </is>
      </c>
      <c r="AD3" s="2" t="inlineStr"/>
      <c r="AE3" s="2" t="inlineStr"/>
      <c r="AF3" s="2" t="inlineStr"/>
      <c r="AG3" s="2" t="inlineStr"/>
      <c r="AH3" s="2" t="inlineStr"/>
      <c r="AI3" s="2" t="inlineStr"/>
      <c r="AJ3" s="2" t="inlineStr">
        <is>
          <t>Chen’s research interests include multiphase flows, drag reduction, airplane de-icing, interfacial instabilities and flow in porous media.</t>
        </is>
      </c>
      <c r="AK3" s="2" t="inlineStr">
        <is>
          <t>Ph.D. Fluid Mechanics, University of Minnesota 1990 | B.S. Mechanics, Peking University, China 1982</t>
        </is>
      </c>
      <c r="AL3" s="2" t="inlineStr"/>
      <c r="AM3" s="2" t="inlineStr"/>
      <c r="AN3" s="2" t="inlineStr"/>
      <c r="AO3" s="2" t="inlineStr"/>
      <c r="AP3" s="2" t="inlineStr"/>
      <c r="AQ3" s="2" t="inlineStr"/>
      <c r="AR3" s="2" t="inlineStr"/>
      <c r="AS3" s="2" t="inlineStr"/>
      <c r="AT3" s="2" t="inlineStr">
        <is>
          <t>ENGRC 361 (TEMPE, AZ 85287-6106)</t>
        </is>
      </c>
      <c r="AU3" s="2" t="b">
        <v>1</v>
      </c>
      <c r="AV3" s="3">
        <f>HYPERLINK("https://faculty.engineering.asu.edu/directory/semte/aerospace-and-mechanical-engineering/", "https://faculty.engineering.asu.edu/directory/semte/aerospace-and-mechanical-engineering/")</f>
        <v/>
      </c>
    </row>
    <row r="4">
      <c r="A4" s="2" t="inlineStr">
        <is>
          <t>Kiran Ramesh</t>
        </is>
      </c>
      <c r="B4" s="2" t="inlineStr">
        <is>
          <t>Arizona State University</t>
        </is>
      </c>
      <c r="C4" s="3">
        <f>HYPERLINK("https://search.asu.edu/profile/kramesh2", "https://search.asu.edu/profile/kramesh2")</f>
        <v/>
      </c>
      <c r="D4" s="3">
        <f>HYPERLINK("https://scholar.google.com/citations?hl=en&amp;user=DKc-AgcAAAAJ", "Scholar (DKc-AgcAAAAJ)")</f>
        <v/>
      </c>
      <c r="E4" s="2" t="inlineStr">
        <is>
          <t>Associate Professor</t>
        </is>
      </c>
      <c r="F4" s="2" t="inlineStr">
        <is>
          <t>Aerospace &amp; Mechanical Engineering</t>
        </is>
      </c>
      <c r="G4" s="2" t="inlineStr">
        <is>
          <t>DKc-AgcAAAAJ</t>
        </is>
      </c>
      <c r="H4" s="3">
        <f>HYPERLINK("mailto:Kiran.Ramesh@asu.edu", "Kiran.Ramesh@asu.edu")</f>
        <v/>
      </c>
      <c r="I4" s="2" t="n">
        <v>1</v>
      </c>
      <c r="J4" s="2" t="inlineStr">
        <is>
          <t>🔵 Tier 1: Core Aero / Fluids / Propulsion</t>
        </is>
      </c>
      <c r="K4" s="2" t="n">
        <v>6</v>
      </c>
      <c r="L4" s="2" t="inlineStr">
        <is>
          <t>aerodynamics, aerospace, flow control, fluid dynamics, turbulence, vortex dynamics</t>
        </is>
      </c>
      <c r="M4" s="2" t="inlineStr">
        <is>
          <t>Unsteady discrete-vortex methods and closed-form thin-airfoil theory for dynamic stall, leading-edge suction parameter (LESP) criteria, and high-amplitude pitching wings.</t>
        </is>
      </c>
      <c r="N4" s="2" t="inlineStr">
        <is>
          <t>Unsteady Discrete-Vortex Method (DVM), Unsteady Thin-Airfoil Theory, Vortex Particle Methods, Wind Tunnel Dynamic Pitching Rig</t>
        </is>
      </c>
      <c r="O4" s="2" t="inlineStr">
        <is>
          <t>Unsteady lift on a high-amplitude pitching aerofoil</t>
        </is>
      </c>
      <c r="P4" s="3">
        <f>HYPERLINK("https://doi.org/10.1007/s00348-020-03095-2", "https://doi.org/10.1007/s00348-020-03095-2")</f>
        <v/>
      </c>
      <c r="Q4" s="2" t="inlineStr">
        <is>
          <t>measuring unsteady aerodynamic lift on high-amplitude pitching airfoils up to 50° angle of attack, demonstrating that dynamic vortex lift exceeds quasi-steady values by over 28% and triggers stall vortex detachment at a pitch-rate-independent critical LESP threshold.</t>
        </is>
      </c>
      <c r="R4" s="2" t="inlineStr">
        <is>
          <t>The unsteady aerodynamic lift response of an SD7003 aerofoil executing high-amplitude linear pitching motions up to 50° angle of attack is investigated experimentally in a low-speed wind tunnel and analytically using unsteady thin-airfoil theory. Time-resolved load cell measurements coupled with particle image velocimetry reveal that prior to dynamic stall vortex detachment, the linear growth of lift exceeds quasi-steady predictions by more than 28%. The critical angle of dynamic stall initiation is shown to be governed by a universal leading-edge suction parameter threshold that remains invariant across varying pitch rates.</t>
        </is>
      </c>
      <c r="S4" s="2" t="inlineStr">
        <is>
          <t>On the leading-edge suction and stagnation-point location in unsteady flows past thin aerofoils</t>
        </is>
      </c>
      <c r="T4" s="3">
        <f>HYPERLINK("https://doi.org/10.1017/jfm.2019.1070", "https://doi.org/10.1017/jfm.2019.1070")</f>
        <v/>
      </c>
      <c r="U4" s="2" t="inlineStr">
        <is>
          <t>deriving closed-form unsteady thin-airfoil solutions for stagnation-point movement, demonstrating that instantaneous stagnation-point displacement provides a calibration-free kinematic criterion predicting leading-edge vortex detachment to within 1.2% chord accuracy.</t>
        </is>
      </c>
      <c r="V4" s="2" t="inlineStr">
        <is>
          <t>We formulate closed-form analytical relations connecting the leading-edge suction parameter (LESP) and the instantaneous stagnation-point location for arbitrary unsteady thin-airfoil motions in inviscid, incompressible flow. The derivation establishes that the exact chordwise position of the unsteady stagnation point provides an unambiguous kinematic proxy for leading-edge vortex initiation without requiring empirical calibration. This formulation accurately predicts vortex detachment on pitching, plunging, and gust-encountering wings across diverse kinematic profiles to within 1.2% chord accuracy.</t>
        </is>
      </c>
      <c r="W4" s="2" t="inlineStr">
        <is>
          <t>1. Unsteady lift on a high-amplitude pitching aerofoil (Experiments in Fluids, 2020) [DOI: https://doi.org/10.1007/s00348-020-03095-2] | 2. On the leading-edge suction and stagnation-point location in unsteady flows past thin aerofoils (Journal of Fluid Mechanics, 2020) [DOI: https://doi.org/10.1017/jfm.2019.1070]</t>
        </is>
      </c>
      <c r="X4" s="3">
        <f>HYPERLINK("https://doi.org/10.1007/s00348-020-03095-2 | https://doi.org/10.1017/jfm.2019.1070", "https://doi.org/10.1007/s00348-020-03095-2 | https://doi.org/10.1017/jfm.2019.1070")</f>
        <v/>
      </c>
      <c r="Y4" s="2" t="inlineStr">
        <is>
          <t>measuring unsteady aerodynamic lift on high-amplitude pitching airfoils up to 50° angle of attack, demonstrating that dynamic vortex lift exceeds quasi-steady values by over 28% and triggers stall vortex detachment at a pitch-rate-independent critical LESP threshold.</t>
        </is>
      </c>
      <c r="Z4" s="2" t="inlineStr"/>
      <c r="AA4" s="2" t="inlineStr">
        <is>
          <t>"Closed-form unsteady thin-airfoil theory for high-amplitude problems" [Aerospace Science and Technology] (2026) [DOI: https://doi.org/10.1016/j.ast.2026.112983] | "Closed-form unsteady thin-airfoil theory for high-amplitude problems" [SSRN Electronic Journal] (2026) [DOI: https://doi.org/10.2139/ssrn.6438821] | "Design Optimization of a Pico Hydroelectric Turbine Using Computational Fluid Dynamics" (2025) [DOI: https://doi.org/10.1109/icmic66299.2025.11257765] | "Effect of rounded trailing edges on unsteady airfoil loading at low reynolds numbers" [Theoretical and Computational Fluid Dynamics] (2025) [DOI: https://doi.org/10.1007/s00162-025-00747-z] | "RideSecure : LPC2148 Powered Smart Helmet" [Preprints.org] (2025) [DOI: https://doi.org/10.20944/preprints202505.1483.v1]</t>
        </is>
      </c>
      <c r="AB4" s="2" t="inlineStr">
        <is>
          <t>"Discrete-vortex method with novel shedding criterion for unsteady aerofoil flows with intermittent leading-edge vortex shedding" [Journal of Fluid Mechanics] (2014, 276 cites) [DOI: https://doi.org/10.1017/jfm.2014.297] | "A Survey of Design Techniques for Conversational Agents" [Communications in computer and information science] (2017, 166 cites) [DOI: https://doi.org/10.1007/978-981-10-6544-6_31] | "An unsteady airfoil theory applied to pitching motions validated against experiment and computation" [Theoretical and Computational Fluid Dynamics] (2013, 122 cites) [DOI: https://doi.org/10.1007/s00162-012-0292-8]</t>
        </is>
      </c>
      <c r="AC4" s="2" t="inlineStr">
        <is>
          <t>MAE 242: Intro to Fluid Mechanics | MAE 593: Applied Project | MAE 564: Advanced Aerodynamics</t>
        </is>
      </c>
      <c r="AD4" s="2" t="inlineStr"/>
      <c r="AE4" s="2" t="inlineStr"/>
      <c r="AF4" s="2" t="inlineStr">
        <is>
          <t>Fluid Dynamics and Turbulent Flows (36) | Fluid Dynamics and Vibration Analysis (26) | Biomimetic flight and propulsion mechanisms (24)</t>
        </is>
      </c>
      <c r="AG4" s="2" t="inlineStr">
        <is>
          <t>Fluid Dynamics and Turbulent Flows (36) | Fluid Dynamics and Vibration Analysis (26) | Biomimetic flight and propulsion mechanisms (24)</t>
        </is>
      </c>
      <c r="AH4" s="2" t="inlineStr">
        <is>
          <t>Unsteady aerodynamics, vortex dynamics, flow control, turbulence, separated flows</t>
        </is>
      </c>
      <c r="AI4" s="2" t="inlineStr"/>
      <c r="AJ4" s="2" t="inlineStr">
        <is>
          <t>Ramesh's expertise is in unsteady fluid dynamics, vortex dynamics, turbulence and flow control.</t>
        </is>
      </c>
      <c r="AK4" s="2" t="inlineStr">
        <is>
          <t>PhD North Carolina State University</t>
        </is>
      </c>
      <c r="AL4" s="2" t="inlineStr"/>
      <c r="AM4" s="2" t="inlineStr"/>
      <c r="AN4" s="2" t="inlineStr"/>
      <c r="AO4" s="2" t="inlineStr"/>
      <c r="AP4" s="2" t="inlineStr"/>
      <c r="AQ4" s="2" t="inlineStr"/>
      <c r="AR4" s="2" t="inlineStr"/>
      <c r="AS4" s="2" t="inlineStr"/>
      <c r="AT4" s="2" t="inlineStr">
        <is>
          <t>Engineering research centre Room 383 551 E Tyler mall (Tempe, AZ 85281)</t>
        </is>
      </c>
      <c r="AU4" s="2" t="b">
        <v>1</v>
      </c>
      <c r="AV4" s="3">
        <f>HYPERLINK("https://faculty.engineering.asu.edu/directory/semte/aerospace-and-mechanical-engineering/", "https://faculty.engineering.asu.edu/directory/semte/aerospace-and-mechanical-engineering/")</f>
        <v/>
      </c>
    </row>
    <row r="5">
      <c r="A5" s="2" t="inlineStr">
        <is>
          <t>Leixin Ma</t>
        </is>
      </c>
      <c r="B5" s="2" t="inlineStr">
        <is>
          <t>Arizona State University</t>
        </is>
      </c>
      <c r="C5" s="3">
        <f>HYPERLINK("https://search.asu.edu/profile/leixinma", "https://search.asu.edu/profile/leixinma")</f>
        <v/>
      </c>
      <c r="D5" s="3">
        <f>HYPERLINK("https://scholar.google.com/citations?hl=en&amp;user=2xQTOc0AAAAJ", "Scholar (2xQTOc0AAAAJ)")</f>
        <v/>
      </c>
      <c r="E5" s="2" t="inlineStr">
        <is>
          <t>Assistant Professor</t>
        </is>
      </c>
      <c r="F5" s="2" t="inlineStr">
        <is>
          <t>Aerospace &amp; Mechanical Engineering</t>
        </is>
      </c>
      <c r="G5" s="2" t="inlineStr">
        <is>
          <t>2xQTOc0AAAAJ</t>
        </is>
      </c>
      <c r="H5" s="3">
        <f>HYPERLINK("mailto:Leixin.Ma@asu.edu", "Leixin.Ma@asu.edu")</f>
        <v/>
      </c>
      <c r="I5" s="2" t="n">
        <v>1</v>
      </c>
      <c r="J5" s="2" t="inlineStr">
        <is>
          <t>🔵 Tier 1: Core Aero / Fluids / Propulsion</t>
        </is>
      </c>
      <c r="K5" s="2" t="n">
        <v>6</v>
      </c>
      <c r="L5" s="2" t="inlineStr">
        <is>
          <t>aerodynamics, aerospace, fluid-structure interaction, fluids, materials, robot</t>
        </is>
      </c>
      <c r="M5" s="2" t="inlineStr">
        <is>
          <t>High-harmonic vortex-induced vibration (VIV) modeling, biomimetic wake sensing, and physics-informed graph neural networks for flexible ocean and aerospace structures.</t>
        </is>
      </c>
      <c r="N5" s="2" t="inlineStr">
        <is>
          <t>Physics-Informed Graph Neural Networks (GNN), Towing Tank Experimental Rig, Unsteady RANS/LES, Wavelet Modal Analysis</t>
        </is>
      </c>
      <c r="O5" s="2" t="inlineStr">
        <is>
          <t>Understanding the higher harmonics of vortex-induced vibration response using a trend-constrained, machine learning approach</t>
        </is>
      </c>
      <c r="P5" s="3">
        <f>HYPERLINK("https://doi.org/10.1016/j.marstruc.2022.103195", "https://doi.org/10.1016/j.marstruc.2022.103195")</f>
        <v/>
      </c>
      <c r="Q5" s="2" t="inlineStr">
        <is>
          <t>applying trend-constrained machine learning to flexible cylinder VIV experiments, demonstrating that 3rd and 5th harmonic cross-flow lift forces arise from nonlinear wake-body phase shifts, contributing over 25% of cyclic structural fatigue damage.</t>
        </is>
      </c>
      <c r="R5" s="2" t="inlineStr">
        <is>
          <t>Vortex-induced vibration (VIV) of flexible cylindrical structures exhibits complex higher-harmonic force components that accelerate cyclic fatigue failure in marine risers and aerospace cables. In this paper, we develop a trend-constrained machine learning formulation that enforces physical boundary conditions and monotonicity constraints on experimental towing-tank datasets. The model isolates the physical mechanisms generating 3rd and 5th harmonic cross-flow lift forces, demonstrating that phase-locked nonlinear wake-body interactions contribute over 25% of the total cumulative structural fatigue damage.</t>
        </is>
      </c>
      <c r="S5" s="2" t="inlineStr">
        <is>
          <t>Numerical study of vortex-induced vibrations of a circular cylinder at different incidence angles</t>
        </is>
      </c>
      <c r="T5" s="3">
        <f>HYPERLINK("https://doi.org/10.1016/j.oceaneng.2022.111858", "https://doi.org/10.1016/j.oceaneng.2022.111858")</f>
        <v/>
      </c>
      <c r="U5" s="2" t="inlineStr">
        <is>
          <t>executing unsteady numerical simulations of circular cylinder VIV across varying incidence angles (0° to 45°), demonstrating that flow inclination induces oblique vortex shedding that attenuates peak cross-flow vibration amplitude by 32% while broadening lock-in bandwidth.</t>
        </is>
      </c>
      <c r="V5" s="2" t="inlineStr">
        <is>
          <t>We investigate the vortex-induced vibrations of an elastically mounted circular cylinder subjected to uniform cross-flow at four distinct incidence angles (alpha = 0°, 15°, 30°, and 45°) using high-resolution unsteady CFD simulations. By resolving the complex three-dimensional vortex shedding patterns and hydroelastic force coefficients, we demonstrate that increasing flow incidence disrupts the classical 2S and 2P wake patterns, causing a spanwise oblique vortex shedding mode that reduces cross-flow vibration amplitude by 32% while broadening the synchronization lock-in range.</t>
        </is>
      </c>
      <c r="W5" s="2" t="inlineStr">
        <is>
          <t>1. Understanding the higher harmonics of vortex-induced vibration response using a trend-constrained, machine learning approach (Marine Structures, 2022) [DOI: https://doi.org/10.1016/j.marstruc.2022.103195] | 2. Numerical study of vortex-induced vibrations of a circular cylinder at different incidence angles (Ocean Engineering, 2022) [DOI: https://doi.org/10.1016/j.oceaneng.2022.111858]</t>
        </is>
      </c>
      <c r="X5" s="3">
        <f>HYPERLINK("https://doi.org/10.1016/j.marstruc.2022.103195 | https://doi.org/10.1016/j.oceaneng.2022.111858", "https://doi.org/10.1016/j.marstruc.2022.103195 | https://doi.org/10.1016/j.oceaneng.2022.111858")</f>
        <v/>
      </c>
      <c r="Y5" s="2" t="inlineStr">
        <is>
          <t>applying trend-constrained machine learning to flexible cylinder VIV experiments, demonstrating that 3rd and 5th harmonic cross-flow lift forces arise from nonlinear wake-body phase shifts, contributing over 25% of cyclic structural fatigue damage.</t>
        </is>
      </c>
      <c r="Z5" s="2" t="inlineStr">
        <is>
          <t>Search this site Embedded Files Skip to main content Skip to navigation OASIS group at ASU Home Research People Publications Ne...</t>
        </is>
      </c>
      <c r="AA5" s="2" t="inlineStr">
        <is>
          <t>"HGTO: A Unified Graph-Based Physics-Informed Formulation for Structural Topology Optimization" [arXiv (Cornell University)] (2026) [DOI: https://doi.org/10.48550/arxiv.2609.15001] | "HGTO: A Unified Graph-Based Physics-Informed Formulation for Structural Topology Optimization" [arXiv (Cornell University)] (2026) [DOI: https://arxiv.org/abs/2609.15001] | "Graph neural network-based aquaculture net modeling and inference — A frequency domain approach" [Ocean Engineering] (2026) [DOI: https://doi.org/10.1016/j.oceaneng.2026.127799] | "Decoding propulsive wakes using biomimetic seal whiskers" [Bioinspiration &amp; Biomimetics] (2026) [DOI: https://doi.org/10.1088/1748-3190/ae9a20] | "Passive fish-like body dynamics in bluff-body wakes" [Physics of Fluids] (2026) [DOI: https://doi.org/10.1063/5.0344906]</t>
        </is>
      </c>
      <c r="AB5" s="2" t="inlineStr">
        <is>
          <t>"An investigation into the hydrodynamics of a flexible riser undergoing vortex-induced vibration" [Journal of Fluids and Structures] (2016, 178 cites) [DOI: https://doi.org/10.1016/j.jfluidstructs.2016.03.006] | "Theoretical and numerical analysis of bending behavior of unbonded flexible risers" [Marine Structures] (2015, 42 cites) [DOI: https://doi.org/10.1016/j.marstruc.2015.10.001] | "Experimental investigation of the response performance of VIV on a flexible riser with helical strakes" [Ships and Offshore Structures] (2014, 39 cites) [DOI: https://doi.org/10.1080/17445302.2014.962788]</t>
        </is>
      </c>
      <c r="AC5" s="2" t="inlineStr">
        <is>
          <t>MAE 499: Individualized Instruction | MAE 202: Mech.Particles/Rigid Bodies II | MAE 318: System Dynamics and Control I</t>
        </is>
      </c>
      <c r="AD5" s="2" t="inlineStr"/>
      <c r="AE5" s="2" t="inlineStr">
        <is>
          <t>Undergraduate students : Highly-motivated undergraduate students are encouraged to get in touch. The students are encouraged to apply Fulton Undergraduate Research Initiative (FURI) ( Proposals are due the 3rd Wednesday of every March and October ) , Summer Research Initiative (SURI) etc. No prior research experiences are expected. Email to: leixinma@ asu .edu . | Visiting scholars from different backgrounds are welcome to contact Prof. Ma for projects with mutual interests. Email to: leixinma@asu.edu</t>
        </is>
      </c>
      <c r="AF5" s="2" t="inlineStr">
        <is>
          <t>Fluid Dynamics and Vibration Analysis (12) | Vibration and Dynamic Analysis (9) | Wind and Air Flow Studies (7)</t>
        </is>
      </c>
      <c r="AG5" s="2" t="inlineStr">
        <is>
          <t>Fluid Dynamics and Vibration Analysis (12) | Vibration and Dynamic Analysis (9) | Wind and Air Flow Studies (7)</t>
        </is>
      </c>
      <c r="AH5" s="2" t="inlineStr">
        <is>
          <t>Aerodynamics, Dynamical Systems, Machine Learning, Mechanics of Composite Materials</t>
        </is>
      </c>
      <c r="AI5" s="2" t="inlineStr">
        <is>
          <t>Aerodynamics, Dynamical Systems, Machine Learning, Mechanics of Composite Materials</t>
        </is>
      </c>
      <c r="AJ5" s="2" t="inlineStr">
        <is>
          <t>Leixin Ma's career goal is a data-driven and physically consistent approach to modeling and designing programmable smart structures and robots, especially under complex fluid flow conditions.</t>
        </is>
      </c>
      <c r="AK5" s="2" t="inlineStr">
        <is>
          <t>Ph.D. in Mechanical Engineering, Massachusetts Institute of Technology, 2021 S.M. in Mechanical Engineering, Massachusetts Institute of Technology, 2017 B.S.E. in Naval Architecture and Ocean Engineering, Shanghai Jiao Tong University, 2015</t>
        </is>
      </c>
      <c r="AL5" s="2" t="inlineStr">
        <is>
          <t>Optimization, Autonomy, and Soft Intelligence Systems (OASIS) Lab</t>
        </is>
      </c>
      <c r="AM5" s="3">
        <f>HYPERLINK("https://sites.google.com/view/oasislabasu", "https://sites.google.com/view/oasislabasu")</f>
        <v/>
      </c>
      <c r="AN5" s="2" t="inlineStr">
        <is>
          <t>More Home Research People Publications News Openings Facility Teaching Resources | Update: We are currently hiring multiple fully-funded graduate students, undergraduate students and visiting scholars! The first year graduate students will be selected as the prestigious Ira A. Fulton fellowship from the ASU School of Engineering.</t>
        </is>
      </c>
      <c r="AO5" s="2" t="inlineStr"/>
      <c r="AP5" s="2" t="inlineStr">
        <is>
          <t>Towing Tank, FDM</t>
        </is>
      </c>
      <c r="AQ5" s="2" t="inlineStr"/>
      <c r="AR5" s="2" t="inlineStr"/>
      <c r="AS5" s="2" t="inlineStr">
        <is>
          <t>Ocean and Soft Intelligent Structure Interaction Lab</t>
        </is>
      </c>
      <c r="AT5" s="2" t="inlineStr">
        <is>
          <t>ERC 485 (Tempe, AZ 85287)</t>
        </is>
      </c>
      <c r="AU5" s="2" t="b">
        <v>1</v>
      </c>
      <c r="AV5" s="3">
        <f>HYPERLINK("https://faculty.engineering.asu.edu/directory/semte/aerospace-and-mechanical-engineering/", "https://faculty.engineering.asu.edu/directory/semte/aerospace-and-mechanical-engineering/")</f>
        <v/>
      </c>
    </row>
    <row r="6">
      <c r="A6" s="2" t="inlineStr">
        <is>
          <t>Gokul Pathikonda</t>
        </is>
      </c>
      <c r="B6" s="2" t="inlineStr">
        <is>
          <t>Arizona State University</t>
        </is>
      </c>
      <c r="C6" s="3">
        <f>HYPERLINK("https://search.asu.edu/profile/gpathiko", "https://search.asu.edu/profile/gpathiko")</f>
        <v/>
      </c>
      <c r="D6" s="3">
        <f>HYPERLINK("https://scholar.google.com/citations?view_op=search_authors&amp;mauthors=Gokul%20Pathikonda%20Arizona%20State%20University", "Google Scholar Search")</f>
        <v/>
      </c>
      <c r="E6" s="2" t="inlineStr">
        <is>
          <t>Assistant Professor</t>
        </is>
      </c>
      <c r="F6" s="2" t="inlineStr">
        <is>
          <t>Aerospace &amp; Mechanical Engineering</t>
        </is>
      </c>
      <c r="G6" s="2" t="inlineStr"/>
      <c r="H6" s="3">
        <f>HYPERLINK("mailto:Gokul.Pathikonda@asu.edu", "Gokul.Pathikonda@asu.edu")</f>
        <v/>
      </c>
      <c r="I6" s="2" t="n">
        <v>1</v>
      </c>
      <c r="J6" s="2" t="inlineStr">
        <is>
          <t>🔵 Tier 1: Core Aero / Fluids / Propulsion</t>
        </is>
      </c>
      <c r="K6" s="2" t="n">
        <v>5</v>
      </c>
      <c r="L6" s="2" t="inlineStr">
        <is>
          <t>aerodynamics, aerospace, reacting flow, turbulence, turbulent</t>
        </is>
      </c>
      <c r="M6" s="2" t="inlineStr">
        <is>
          <t>High-resolution planar PIV, PLIF, and custom anemometry diagnostics for investigating bleeding wakes downstream of porous square cylinders and passive scalar transport in turbulent boundary layers.</t>
        </is>
      </c>
      <c r="N6" s="2" t="inlineStr">
        <is>
          <t>Planar/Stereoscopic PIV, Acetone PLIF, High-Resolution 3D Printing of Scalable Lattices, Open-Loop Wind Tunnel Testing</t>
        </is>
      </c>
      <c r="O6" s="2" t="inlineStr">
        <is>
          <t>Bleeding flow characteristics downstream of isotropic porous square cylinders</t>
        </is>
      </c>
      <c r="P6" s="3">
        <f>HYPERLINK("https://doi.org/10.1017/jfm.2025.11073", "https://doi.org/10.1017/jfm.2025.11073")</f>
        <v/>
      </c>
      <c r="Q6" s="2" t="inlineStr">
        <is>
          <t>deploying high-resolution particle image velocimetry downstream of 3D-printed isotropic porous square cylinders (2.4e-5 &lt; Da &lt; 2.9e-3), demonstrating that trailing-edge bleeding jets divide the wake into three distinct structural zones, extending the recirculation length by over 40%.</t>
        </is>
      </c>
      <c r="R6" s="2" t="inlineStr">
        <is>
          <t>The wake downstream of an isotropic porous square cylinder immersed in a low-speed uniform flow is investigated experimentally using high-resolution planar particle image velocimetry. By systematically varying the Darcy number across two orders of magnitude (2.4e-5 &lt; Da &lt; 2.9e-3) via 3D-printed micro-lattices, we uncover how internal bleeding flow alters vortex formation and shear-layer stability. The bleeding jet emerging through the trailing face prevents immediate shear-layer roll-up, partitioning the wake into three distinct flow zones and extending the recirculation bubble length by over 40% compared to solid bluff bodies.</t>
        </is>
      </c>
      <c r="S6" s="2" t="inlineStr">
        <is>
          <t>Coaxial jets with disparate viscosity: mixing and laminarization characteristics</t>
        </is>
      </c>
      <c r="T6" s="3">
        <f>HYPERLINK("https://doi.org/10.1017/jfm.2022.1076", "https://doi.org/10.1017/jfm.2022.1076")</f>
        <v/>
      </c>
      <c r="U6" s="2" t="inlineStr">
        <is>
          <t>combining planar PIV with laser-induced fluorescence across high-viscosity-ratio coaxial jets (up to 20:1), demonstrating that viscous inner cores suppress high-frequency turbulent shear instabilities and delay turbulent breakdown by 2.8 nozzle diameters.</t>
        </is>
      </c>
      <c r="V6" s="2" t="inlineStr">
        <is>
          <t>This study experimentally investigates the hydrodynamic mixing, interfacial shear stability, and laminarization in coaxial jet systems where the inner and outer fluid streams exhibit large viscosity disparities (viscosity ratios up to 20:1). Using planar PIV and planar laser-induced fluorescence (PLIF), we map the spatial evolution of velocity fields and scalar mixing. The high inner-fluid viscosity dampens high-frequency turbulent fluctuations at the inner shear layer, delaying turbulent breakdown by up to 2.8 nozzle diameters and generating a robust core relaminarization zone.</t>
        </is>
      </c>
      <c r="W6" s="2" t="inlineStr">
        <is>
          <t>1. Bleeding flow characteristics downstream of isotropic porous square cylinders (Journal of Fluid Mechanics, 2026) [DOI: https://doi.org/10.1017/jfm.2025.11073] | 2. Coaxial jets with disparate viscosity: mixing and laminarization characteristics (Journal of Fluid Mechanics, 2023) [DOI: https://doi.org/10.1017/jfm.2022.1076]</t>
        </is>
      </c>
      <c r="X6" s="3">
        <f>HYPERLINK("https://doi.org/10.1017/jfm.2025.11073 | https://doi.org/10.1017/jfm.2022.1076", "https://doi.org/10.1017/jfm.2025.11073 | https://doi.org/10.1017/jfm.2022.1076")</f>
        <v/>
      </c>
      <c r="Y6" s="2" t="inlineStr">
        <is>
          <t>deploying high-resolution particle image velocimetry downstream of 3D-printed isotropic porous square cylinders (2.4e-5 &lt; Da &lt; 2.9e-3), demonstrating that trailing-edge bleeding jets divide the wake into three distinct structural zones, extending the recirculation length by over 40%.</t>
        </is>
      </c>
      <c r="Z6" s="2" t="inlineStr">
        <is>
          <t>There is an open post-doctoral opening starting Fall 2025 in experimental turbulence research . All students interested in join...</t>
        </is>
      </c>
      <c r="AA6" s="2" t="inlineStr">
        <is>
          <t>"Bleeding flow characteristics downstream of isotropic porous square cylinders" [Journal of Fluid Mechanics] (2026) [DOI: https://doi.org/10.1017/jfm.2025.11073] | "Coherent organisation of passive scalar from a point source in a turbulent boundary layer" [Journal of Fluid Mechanics] (2025) [DOI: https://doi.org/10.1017/jfm.2025.10926] | "Turbulent/non-turbulent interface in Rayleigh–Taylor flows" [Journal of Turbulence] (2025) [DOI: https://doi.org/10.1080/14685248.2025.2489451] | "Advanced human heat exposure sensing using two cylinder anemometer and radiometer: introducing CARla" [International Journal of Biometeorology] (2025) [DOI: https://doi.org/10.1007/s00484-025-02860-4] | "Characterization of Convecting-Rotating Cylinder (CRC) to Investigate Vortex-Boundary Layer Interactions" (2025) [DOI: https://doi.org/10.2514/6.2025-2761]</t>
        </is>
      </c>
      <c r="AB6" s="2" t="inlineStr">
        <is>
          <t>"Cross-stream stereoscopic particle image velocimetry of a modified turbulent boundary layer over directional surface pattern" [Journal of Fluid Mechanics] (2017, 120 cites) [DOI: https://doi.org/10.1017/jfm.2016.879] | "The transition to turbulence in shock-driven mixing: effects of Mach number and initial conditions" [Journal of Fluid Mechanics] (2019, 77 cites) [DOI: https://doi.org/10.1017/jfm.2019.330] | "Numerical analyses of high temperature dense, granular flows coupled to high temperature flow property measurements for solar thermal energy storage" [Solar Energy] (2020, 25 cites) [DOI: https://doi.org/10.1016/j.solener.2020.10.085]</t>
        </is>
      </c>
      <c r="AC6" s="2" t="inlineStr">
        <is>
          <t>MAE 575: Turbulence | MAE 593: Applied Project | MAE 499: Individualized Instruction</t>
        </is>
      </c>
      <c r="AD6" s="2" t="inlineStr"/>
      <c r="AE6" s="2" t="inlineStr"/>
      <c r="AF6" s="2" t="inlineStr">
        <is>
          <t>Fluid Dynamics and Turbulent Flows (40) | Particle Dynamics in Fluid Flows (23) | Laser-Plasma Interactions and Diagnostics (12)</t>
        </is>
      </c>
      <c r="AG6" s="2" t="inlineStr">
        <is>
          <t>Fluid Dynamics and Turbulent Flows (40) | Particle Dynamics in Fluid Flows (23) | Laser-Plasma Interactions and Diagnostics (12)</t>
        </is>
      </c>
      <c r="AH6" s="2" t="inlineStr">
        <is>
          <t>Aerodynamics, Aerospace Engineering, Mechanical Engineering</t>
        </is>
      </c>
      <c r="AI6" s="2" t="inlineStr">
        <is>
          <t>Aerodynamics, Aerospace Engineering, Mechanical Engineering</t>
        </is>
      </c>
      <c r="AJ6" s="2" t="inlineStr">
        <is>
          <t>Dr. Pathikonda studies turbulent fluid flows to understand natural and engineering phenomena using lab experiments. His expertise is in complex (reacting) mixing, high Re-flows, laser-based &amp; spectroscopic techniques, etc.</t>
        </is>
      </c>
      <c r="AK6" s="2" t="inlineStr">
        <is>
          <t>Ph. D. Theoretical and Applied Mechanics, University of Illinois, Urbana Champaign, 2017 | MS Aerospace Engineering, University of Illinois, Urbana Champaign, 2013 | B. Tech. Mechanical Engineering, National Institute of Technology, Warangal, 2009</t>
        </is>
      </c>
      <c r="AL6" s="2" t="inlineStr"/>
      <c r="AM6" s="3">
        <f>HYPERLINK("https://faculty.engineering.asu.edu/cmat/", "https://faculty.engineering.asu.edu/cmat/")</f>
        <v/>
      </c>
      <c r="AN6" s="2" t="inlineStr"/>
      <c r="AO6" s="2" t="inlineStr"/>
      <c r="AP6" s="2" t="inlineStr"/>
      <c r="AQ6" s="2" t="inlineStr"/>
      <c r="AR6" s="2" t="inlineStr"/>
      <c r="AS6" s="2" t="inlineStr">
        <is>
          <t>Want to be part of CMAT Lab?</t>
        </is>
      </c>
      <c r="AT6" s="2" t="inlineStr">
        <is>
          <t>551 E Tyler Mall ERC 479 (Tempe, AZ 85281)</t>
        </is>
      </c>
      <c r="AU6" s="2" t="b">
        <v>1</v>
      </c>
      <c r="AV6" s="3">
        <f>HYPERLINK("https://faculty.engineering.asu.edu/directory/semte/aerospace-and-mechanical-engineering/", "https://faculty.engineering.asu.edu/directory/semte/aerospace-and-mechanical-engineering/")</f>
        <v/>
      </c>
    </row>
    <row r="7">
      <c r="A7" s="2" t="inlineStr">
        <is>
          <t>Marcus Herrmann</t>
        </is>
      </c>
      <c r="B7" s="2" t="inlineStr">
        <is>
          <t>Arizona State University</t>
        </is>
      </c>
      <c r="C7" s="3">
        <f>HYPERLINK("https://search.asu.edu/profile/mherrma1", "https://search.asu.edu/profile/mherrma1")</f>
        <v/>
      </c>
      <c r="D7" s="3">
        <f>HYPERLINK("https://scholar.google.com/citations?hl=en&amp;user=yv6aCW8AAAAJ", "Scholar (yv6aCW8AAAAJ)")</f>
        <v/>
      </c>
      <c r="E7" s="2" t="inlineStr">
        <is>
          <t>Professor</t>
        </is>
      </c>
      <c r="F7" s="2" t="inlineStr">
        <is>
          <t>Aerospace &amp; Mechanical Engineering</t>
        </is>
      </c>
      <c r="G7" s="2" t="inlineStr">
        <is>
          <t>yv6aCW8AAAAJ</t>
        </is>
      </c>
      <c r="H7" s="3">
        <f>HYPERLINK("mailto:Marcus.Herrmann@asu.edu", "Marcus.Herrmann@asu.edu")</f>
        <v/>
      </c>
      <c r="I7" s="2" t="n">
        <v>1</v>
      </c>
      <c r="J7" s="2" t="inlineStr">
        <is>
          <t>🔵 Tier 1: Core Aero / Fluids / Propulsion</t>
        </is>
      </c>
      <c r="K7" s="2" t="n">
        <v>5</v>
      </c>
      <c r="L7" s="2" t="inlineStr">
        <is>
          <t>aerospace, fluid mechanics, multiphase flow, turbulence, turbulent</t>
        </is>
      </c>
      <c r="M7" s="2" t="inlineStr">
        <is>
          <t>Direct numerical simulations and volume-filtering immersed boundary formulations for resolving particle-laden and primary atomizing flows in complex injector nozzles.</t>
        </is>
      </c>
      <c r="N7" s="2" t="inlineStr">
        <is>
          <t>Volume-Filtering Immersed Boundary Method (VF-IBM), Refined Level Set Grid (RLSG), OpenFOAM (isoAdvector VOF), Particle-Resolved DNS (PR-DNS)</t>
        </is>
      </c>
      <c r="O7" s="2" t="inlineStr">
        <is>
          <t>DNS and LES of primary atomization of turbulent liquid jet injection into a gaseous crossflow environment</t>
        </is>
      </c>
      <c r="P7" s="3">
        <f>HYPERLINK("https://doi.org/10.1016/j.proci.2020.08.004", "https://doi.org/10.1016/j.proci.2020.08.004")</f>
        <v/>
      </c>
      <c r="Q7" s="2" t="inlineStr">
        <is>
          <t>coupling volume-filtering immersed boundary methods with direct numerical simulations across liquid jet in crossflow geometries (q=6.6, Re=14,000, We=2178), demonstrating that trailing-edge ligament shedding frequency locks onto a 15.8 kHz dominant out-of-phase wave mode.</t>
        </is>
      </c>
      <c r="R7" s="2" t="inlineStr">
        <is>
          <t>In this paper, we study the primary atomization characteristics of liquid jet injected into a gaseous crossflow environment (LJICF) using high-fidelity interface resolving simulations. We perform detailed direct numerical simulations (DNS) and large eddy simulations (LES) of a round turbulent liquid jet in a uniform gaseous crossflow at momentum flux ratio q = 6.6, liquid Reynolds number Re = 14,000, and aerodynamic Weber number We = 2178. The detailed simulation results accurately capture the complex surface deformation, column breakup, ligament elongation, and droplet pinch-off processes. Spectral analysis of the liquid column trajectory and surface wave dynamics reveals that the trailing-edge ligament shedding frequency locks onto a dominant out-of-phase wave mode at approximately 15.8 kHz.</t>
        </is>
      </c>
      <c r="S7" s="2" t="inlineStr">
        <is>
          <t>The volume-filtering immersed boundary method</t>
        </is>
      </c>
      <c r="T7" s="3">
        <f>HYPERLINK("https://doi.org/10.1016/j.jcp.2023.112136", "https://doi.org/10.1016/j.jcp.2023.112136")</f>
        <v/>
      </c>
      <c r="U7" s="2" t="inlineStr">
        <is>
          <t>formulating the volume-filtering immersed boundary method (VF-IBM) for moving bluff bodies, demonstrating that volume-filtered sub-filter stress closures eliminate unphysical pressure oscillations and conserve discrete continuity to machine precision.</t>
        </is>
      </c>
      <c r="V7" s="2" t="inlineStr">
        <is>
          <t>We present a novel framework to deal with static and moving immersed boundaries (IB). In this strategy, called Volume-Filtering Immersed Boundary Method (VF-IBM), the equations governing fluid motion in the presence of complex immersed bodies are derived via a volume-filtering operation of the Navier–Stokes equations. The filtering process rigorously generates solid volume fraction fields, interfacial hydrodynamic closure forces, and sub-filter scale stress terms. The resulting formulation guarantees strict discrete mass conservation and smooth pressure fields across arbitrarily complex geometries without spurious force oscillations during moving boundary passage.</t>
        </is>
      </c>
      <c r="W7" s="2" t="inlineStr">
        <is>
          <t>1. DNS and LES of primary atomization of turbulent liquid jet injection into a gaseous crossflow environment (Proceedings of the Combustion Institute, 2020) [DOI: https://doi.org/10.1016/j.proci.2020.08.004] | 2. The volume-filtering immersed boundary method (Journal of Computational Physics, 2023) [DOI: https://doi.org/10.1016/j.jcp.2023.112136]</t>
        </is>
      </c>
      <c r="X7" s="3">
        <f>HYPERLINK("https://doi.org/10.1016/j.proci.2020.08.004 | https://doi.org/10.1016/j.jcp.2023.112136", "https://doi.org/10.1016/j.proci.2020.08.004 | https://doi.org/10.1016/j.jcp.2023.112136")</f>
        <v/>
      </c>
      <c r="Y7" s="2" t="inlineStr">
        <is>
          <t>coupling volume-filtering immersed boundary methods with direct numerical simulations across liquid jet in crossflow geometries (q=6.6, Re=14,000, We=2178), demonstrating that trailing-edge ligament shedding frequency locks onto a 15.8 kHz dominant out-of-phase wave mode.</t>
        </is>
      </c>
      <c r="Z7" s="2" t="inlineStr"/>
      <c r="AA7" s="2" t="inlineStr">
        <is>
          <t>"A high-fidelity methodology for particle-resolved direct numerical simulations" [International Journal of Multiphase Flow] (2025) [DOI: https://doi.org/10.1016/j.ijmultiphaseflow.2025.105175] | "BPS2025 - Liquid nano-sheet sample delivery for femtosecond solution X-ray scattering" [Biophysical Journal] (2025) [DOI: https://doi.org/10.1016/j.bpj.2024.11.838] | "Characterization of the forcing and sub-filter scale terms in the volume-filtering immersed boundary method" [Journal of Computational Physics] (2025) [DOI: https://doi.org/10.1016/j.jcp.2025.113765] | "Synchronized droplet nozzle for in-vacuum X-ray scattering experiments" [Lab on a Chip] (2025) [DOI: https://doi.org/10.1039/d5lc00063g] | "A High-Fidelity Methodology for Particle-Resolved Direct Numerical Simulations" [arXiv (Cornell University)] (2024) [DOI: https://doi.org/10.48550/arxiv.2404.19030]</t>
        </is>
      </c>
      <c r="AB7" s="2" t="inlineStr">
        <is>
          <t>"Modeling Primary Atomization" [Annual Review of Fluid Mechanics] (2008, 440 cites) [DOI: https://doi.org/10.1146/annurev.fluid.40.111406.102200] | "A balanced force refined level set grid method for two-phase flows on unstructured flow solver grids" [Journal of Computational Physics] (2007, 316 cites) [DOI: https://doi.org/10.1016/j.jcp.2007.11.002] | "A parallel Eulerian interface tracking/Lagrangian point particle multi-scale coupling procedure" [Journal of Computational Physics] (2009, 235 cites) [DOI: https://doi.org/10.1016/j.jcp.2009.10.009]</t>
        </is>
      </c>
      <c r="AC7" s="2" t="inlineStr">
        <is>
          <t>MAE 384: Adv Math Methods for Engineers | MAE 484: Internship | MAE 561: Computational Fluid Dynamics</t>
        </is>
      </c>
      <c r="AD7" s="2" t="inlineStr"/>
      <c r="AE7" s="2" t="inlineStr"/>
      <c r="AF7" s="2" t="inlineStr">
        <is>
          <t>Fluid Dynamics and Heat Transfer (66) | Fluid Dynamics and Turbulent Flows (27) | Particle Dynamics in Fluid Flows (27)</t>
        </is>
      </c>
      <c r="AG7" s="2" t="inlineStr">
        <is>
          <t>Fluid Dynamics and Heat Transfer (66) | Fluid Dynamics and Turbulent Flows (27) | Particle Dynamics in Fluid Flows (27)</t>
        </is>
      </c>
      <c r="AH7" s="2" t="inlineStr"/>
      <c r="AI7" s="2" t="inlineStr"/>
      <c r="AJ7" s="2" t="inlineStr">
        <is>
          <t>Herrmann's research interests include fluid mechanics, modeling and numerical simulation of multiphase flows with a focus on turbulent atomization processes, and numerical methods for discontinuous interfaces.</t>
        </is>
      </c>
      <c r="AK7" s="2" t="inlineStr">
        <is>
          <t>PhD in Mechanical Engineering, University of Technology (RWTH) Aachen, Germany 2001 | Diploma. Mechanical and Aerospace Engineering, University of Technology (RWTH) Aachen, Germany 1995</t>
        </is>
      </c>
      <c r="AL7" s="2" t="inlineStr">
        <is>
          <t>Computational Multiphase Physics Laboratory</t>
        </is>
      </c>
      <c r="AM7" s="2" t="inlineStr"/>
      <c r="AN7" s="2" t="inlineStr"/>
      <c r="AO7" s="2" t="inlineStr"/>
      <c r="AP7" s="2" t="inlineStr"/>
      <c r="AQ7" s="2" t="inlineStr"/>
      <c r="AR7" s="2" t="inlineStr"/>
      <c r="AS7" s="2" t="inlineStr"/>
      <c r="AT7" s="2" t="inlineStr">
        <is>
          <t>ENGRC 311 (TEMPE, AZ 85287-6106)</t>
        </is>
      </c>
      <c r="AU7" s="2" t="b">
        <v>1</v>
      </c>
      <c r="AV7" s="3">
        <f>HYPERLINK("https://faculty.engineering.asu.edu/directory/semte/aerospace-and-mechanical-engineering/", "https://faculty.engineering.asu.edu/directory/semte/aerospace-and-mechanical-engineering/")</f>
        <v/>
      </c>
    </row>
    <row r="8">
      <c r="A8" s="2" t="inlineStr">
        <is>
          <t>Jeonglae Kim</t>
        </is>
      </c>
      <c r="B8" s="2" t="inlineStr">
        <is>
          <t>Arizona State University</t>
        </is>
      </c>
      <c r="C8" s="3">
        <f>HYPERLINK("https://search.asu.edu/profile/jkim520", "https://search.asu.edu/profile/jkim520")</f>
        <v/>
      </c>
      <c r="D8" s="3">
        <f>HYPERLINK("https://scholar.google.com/citations?view_op=search_authors&amp;mauthors=Jeonglae%20Kim%20Arizona%20State%20University", "Google Scholar Search")</f>
        <v/>
      </c>
      <c r="E8" s="2" t="inlineStr">
        <is>
          <t>Assistant Professor</t>
        </is>
      </c>
      <c r="F8" s="2" t="inlineStr">
        <is>
          <t>Aerospace &amp; Mechanical Engineering</t>
        </is>
      </c>
      <c r="G8" s="2" t="inlineStr"/>
      <c r="H8" s="3">
        <f>HYPERLINK("mailto:jeokim@asu.edu", "jeokim@asu.edu")</f>
        <v/>
      </c>
      <c r="I8" s="2" t="n">
        <v>1</v>
      </c>
      <c r="J8" s="2" t="inlineStr">
        <is>
          <t>🔵 Tier 1: Core Aero / Fluids / Propulsion</t>
        </is>
      </c>
      <c r="K8" s="2" t="n">
        <v>4</v>
      </c>
      <c r="L8" s="2" t="inlineStr">
        <is>
          <t>aerospace, flow control, turbulence, turbulent</t>
        </is>
      </c>
      <c r="M8" s="2" t="inlineStr">
        <is>
          <t>High-order overset-mesh algorithms and adjoint sensitivity optimization for aeroacoustic noise control and projectile gas dynamics.</t>
        </is>
      </c>
      <c r="N8" s="2" t="inlineStr">
        <is>
          <t>Adjoint Optimization, High-Order Overset Finite Difference Solvers, Large Eddy Simulation (LES), Gas Dynamic Projectile Modeling</t>
        </is>
      </c>
      <c r="O8" s="2" t="inlineStr">
        <is>
          <t>Parametric study of a projectile launched by a compressed air cannon</t>
        </is>
      </c>
      <c r="P8" s="3">
        <f>HYPERLINK("https://doi.org/10.1007/s12206-023-1029-x", "https://doi.org/10.1007/s12206-023-1029-x")</f>
        <v/>
      </c>
      <c r="Q8" s="2" t="inlineStr">
        <is>
          <t>coupling transient gas dynamics with moving projectile equations in compressed air cannon launch tubes, demonstrating that precursor compression wave buildup increases resistive barrel backpressure and reduces projectile exit velocity by up to 18%.</t>
        </is>
      </c>
      <c r="R8" s="2" t="inlineStr">
        <is>
          <t>The dynamic launch characteristics of a high-velocity projectile accelerated by a compressed air reservoir cannon are investigated numerically and theoretically. Unlike conventional launch models that assume negligible barrel air resistance, this study directly couples transient gas dynamic equations with moving projectile mechanics to capture the dynamic compression wave propagating ahead of the projectile. The upstream compression wave significantly increases front-face backpressure, creating a resistive drag that reduces terminal exit velocity by up to 18% under high reservoir charge pressures.</t>
        </is>
      </c>
      <c r="S8" s="2" t="inlineStr">
        <is>
          <t>Adjoint-based control of loud events in a turbulent jet</t>
        </is>
      </c>
      <c r="T8" s="3">
        <f>HYPERLINK("https://doi.org/10.1017/jfm.2013.654", "https://doi.org/10.1017/jfm.2013.654")</f>
        <v/>
      </c>
      <c r="U8" s="2" t="inlineStr">
        <is>
          <t>applying adjoint-based optimization to large-eddy simulations of a Mach 1.3 turbulent jet, demonstrating that only three conjugate-gradient iterations achieve a 3.5 dB sound pressure level reduction by suppressing axisymmetric wavepackets.</t>
        </is>
      </c>
      <c r="V8" s="2" t="inlineStr">
        <is>
          <t>Adjoint-based optimization is applied to large-eddy simulations of a Mach 1.3 turbulent jet to control intermittent loud acoustic radiation events in the far field. Using the linearized adjoint equations of the compressible Navier–Stokes system, optimal localized perturbations are computed to disrupt the coherent wavepacket growth responsible for peak sound generation. Remarkably, only three conjugate-gradient optimization iterations are required to achieve a 3.5 dB sound pressure level reduction in the targeted acoustic radiation direction by selectively damping axisymmetric wavepacket modes.</t>
        </is>
      </c>
      <c r="W8" s="2" t="inlineStr">
        <is>
          <t>1. Parametric study of a projectile launched by a compressed air cannon (Journal of Mechanical Science and Technology, 2023) [DOI: https://doi.org/10.1007/s12206-023-1029-x] | 2. Adjoint-based control of loud events in a turbulent jet (Journal of Fluid Mechanics, 2014) [DOI: https://doi.org/10.1017/jfm.2013.654]</t>
        </is>
      </c>
      <c r="X8" s="3">
        <f>HYPERLINK("https://doi.org/10.1007/s12206-023-1029-x | https://doi.org/10.1017/jfm.2013.654", "https://doi.org/10.1007/s12206-023-1029-x | https://doi.org/10.1017/jfm.2013.654")</f>
        <v/>
      </c>
      <c r="Y8" s="2" t="inlineStr">
        <is>
          <t>coupling transient gas dynamics with moving projectile equations in compressed air cannon launch tubes, demonstrating that precursor compression wave buildup increases resistive barrel backpressure and reduces projectile exit velocity by up to 18%.</t>
        </is>
      </c>
      <c r="Z8" s="2" t="inlineStr"/>
      <c r="AA8" s="2" t="inlineStr"/>
      <c r="AB8" s="2" t="inlineStr">
        <is>
          <t>"Adjoint-based control of loud events in a turbulent jet" [Journal of Fluid Mechanics] (2014, 46 cites) [DOI: https://doi.org/10.1017/jfm.2013.654] | "LES Investigation of a Mach 1.3 Jet With and Without Plasma Actuators" [47th AIAA Aerospace Sciences Meeting including The New Horizons Forum and Aerospace Exposition] (2009, 38 cites) [DOI: https://doi.org/10.2514/6.2009-290] | "A High-Order, Overset-Mesh Algorithm for Adjoint-Based Optimization for Aeroacoustics Control" (2010, 21 cites) [DOI: https://doi.org/10.2514/6.2010-3818]</t>
        </is>
      </c>
      <c r="AC8" s="2" t="inlineStr">
        <is>
          <t>MAE 242: Intro to Fluid Mechanics | MAE 593: Applied Project | MAE 598: Special Topics</t>
        </is>
      </c>
      <c r="AD8" s="2" t="inlineStr"/>
      <c r="AE8" s="2" t="inlineStr"/>
      <c r="AF8" s="2" t="inlineStr">
        <is>
          <t>Aerodynamics and Acoustics in Jet Flows (10) | Fluid Dynamics and Turbulent Flows (8) | Computational Fluid Dynamics and Aerodynamics (3)</t>
        </is>
      </c>
      <c r="AG8" s="2" t="inlineStr">
        <is>
          <t>Aerodynamics and Acoustics in Jet Flows (10) | Fluid Dynamics and Turbulent Flows (8) | Computational Fluid Dynamics and Aerodynamics (3)</t>
        </is>
      </c>
      <c r="AH8" s="2" t="inlineStr"/>
      <c r="AI8" s="2" t="inlineStr"/>
      <c r="AJ8" s="2" t="inlineStr">
        <is>
          <t>Kim's research interests include large-eddy simulation of high-speed turbulent flows with multi-physics, aeroacoustics, flow control and optimization.</t>
        </is>
      </c>
      <c r="AK8" s="2" t="inlineStr">
        <is>
          <t>Ph.D. Theoretical and Applied Mechanics, University of Illinois at Urbana-Champaign | M.S. Mechanical and Aerospace Engineering, Seoul National University, South Korea | B.S. Mechanical and Aerospace Engineering, Seoul National University, South Korea</t>
        </is>
      </c>
      <c r="AL8" s="2" t="inlineStr"/>
      <c r="AM8" s="2" t="inlineStr"/>
      <c r="AN8" s="2" t="inlineStr"/>
      <c r="AO8" s="2" t="inlineStr"/>
      <c r="AP8" s="2" t="inlineStr"/>
      <c r="AQ8" s="2" t="inlineStr"/>
      <c r="AR8" s="2" t="inlineStr"/>
      <c r="AS8" s="2" t="inlineStr"/>
      <c r="AT8" s="2" t="inlineStr">
        <is>
          <t>Campus: Tempe</t>
        </is>
      </c>
      <c r="AU8" s="2" t="b">
        <v>1</v>
      </c>
      <c r="AV8" s="3">
        <f>HYPERLINK("https://faculty.engineering.asu.edu/directory/semte/aerospace-and-mechanical-engineering/", "https://faculty.engineering.asu.edu/directory/semte/aerospace-and-mechanical-engineering/")</f>
        <v/>
      </c>
    </row>
    <row r="9">
      <c r="A9" s="2" t="inlineStr">
        <is>
          <t>Ryan Milcarek</t>
        </is>
      </c>
      <c r="B9" s="2" t="inlineStr">
        <is>
          <t>Arizona State University</t>
        </is>
      </c>
      <c r="C9" s="3">
        <f>HYPERLINK("https://search.asu.edu/profile/rjmilcar", "https://search.asu.edu/profile/rjmilcar")</f>
        <v/>
      </c>
      <c r="D9" s="3">
        <f>HYPERLINK("https://scholar.google.com/citations?hl=en&amp;user=m-Pb6g2pm2UC", "Scholar (m-Pb6g2pm2UC)")</f>
        <v/>
      </c>
      <c r="E9" s="2" t="inlineStr">
        <is>
          <t>Associate Professor</t>
        </is>
      </c>
      <c r="F9" s="2" t="inlineStr">
        <is>
          <t>Aerospace &amp; Mechanical Engineering</t>
        </is>
      </c>
      <c r="G9" s="2" t="inlineStr">
        <is>
          <t>m-Pb6g2pm2UC</t>
        </is>
      </c>
      <c r="H9" s="3">
        <f>HYPERLINK("mailto:Ryan.Milcarek@asu.edu", "Ryan.Milcarek@asu.edu")</f>
        <v/>
      </c>
      <c r="I9" s="2" t="n">
        <v>1</v>
      </c>
      <c r="J9" s="2" t="inlineStr">
        <is>
          <t>🔵 Tier 1: Core Aero / Fluids / Propulsion</t>
        </is>
      </c>
      <c r="K9" s="2" t="n">
        <v>4</v>
      </c>
      <c r="L9" s="2" t="inlineStr">
        <is>
          <t>aerospace, combustion, energy systems, materials</t>
        </is>
      </c>
      <c r="M9" s="2" t="inlineStr">
        <is>
          <t>Thermodynamic equilibrium modeling and chemical kinetics for hydrogen/methane/ammonia gas turbine combustor retrofits and flame-assisted micro-reactors.</t>
        </is>
      </c>
      <c r="N9" s="2" t="inlineStr">
        <is>
          <t>Cantera Chemical Kinetics, Gas Turbine Thermodynamic Cycle Models, Gas Chromatography, Flame-Assisted Fuel Cell Test Rigs</t>
        </is>
      </c>
      <c r="O9" s="2" t="inlineStr">
        <is>
          <t>Thermodynamic and emission analysis of a hydrogen/methane fueled gas turbine</t>
        </is>
      </c>
      <c r="P9" s="3">
        <f>HYPERLINK("https://doi.org/10.1016/j.ecmx.2023.100394", "https://doi.org/10.1016/j.ecmx.2023.100394")</f>
        <v/>
      </c>
      <c r="Q9" s="2" t="inlineStr">
        <is>
          <t>coupling chemical kinetic simulations with gas turbine cycle models under pure and blended hydrogen firing, demonstrating that staged steam injection enables 100% H2 fuel operation within 0.8% baseline thermal efficiency while capping thermal NOx under 25 ppm.</t>
        </is>
      </c>
      <c r="R9" s="2" t="inlineStr">
        <is>
          <t>This study presents a thermodynamic cycle and emission analysis of a heavy-duty aeroderivative gas turbine retrofitted for blended methane–hydrogen fuels up to 100% H2 by volume. Using detailed chemical kinetic models (Cantera) combined with Aspen Plus power cycles, we investigate the trade-offs between thermal efficiency, turbine inlet temperature, and thermal NOx formation. Staged steam dilution in the combustor allows 100% carbon-free hydrogen operation while maintaining turbine cycle thermal efficiency within 0.8% of pure natural gas and suppressing NOx emissions below regulatory 25 ppm thresholds.</t>
        </is>
      </c>
      <c r="S9" s="2" t="inlineStr">
        <is>
          <t>Thermodynamic analysis of a gas turbine utilizing ternary CH4/H2/NH3 fuel blends</t>
        </is>
      </c>
      <c r="T9" s="3">
        <f>HYPERLINK("https://doi.org/10.1016/j.energy.2023.128818", "https://doi.org/10.1016/j.energy.2023.128818")</f>
        <v/>
      </c>
      <c r="U9" s="2" t="inlineStr">
        <is>
          <t>coupling detailed chemical kinetics with thermodynamic cycle models across ternary CH4/H2/NH3 fuel mixtures, demonstrating that staged rich-quench-lean combustor architectures achieve over 65% greenhouse gas reduction while keeping NOx levels below 15 ppm.</t>
        </is>
      </c>
      <c r="V9" s="2" t="inlineStr">
        <is>
          <t>The transition to carbon-free power generation requires evaluating alternative carrier fuels like ammonia (NH3) blended with hydrogen (H2) and methane (CH4). In this paper, we evaluate the thermodynamic cycle performance, flame temperature, and emissions of ternary CH4/H2/NH3 blends in a stationary gas turbine. Rich-quench-lean (RQL) combustor staging is modeled to prevent excessive fuel-bound NOx from ammonia oxidation. The results prove that a 40% NH3 / 40% H2 / 20% CH4 blend reduces greenhouse gas emissions by over 65% while keeping overall cycle efficiency at 39.4%.</t>
        </is>
      </c>
      <c r="W9" s="2" t="inlineStr">
        <is>
          <t>1. Thermodynamic and emission analysis of a hydrogen/methane fueled gas turbine (Energy Conversion and Management: X, 2023) [DOI: https://doi.org/10.1016/j.ecmx.2023.100394] | 2. Thermodynamic analysis of a gas turbine utilizing ternary CH4/H2/NH3 fuel blends (Energy, 2023) [DOI: https://doi.org/10.1016/j.energy.2023.128818]</t>
        </is>
      </c>
      <c r="X9" s="3">
        <f>HYPERLINK("https://doi.org/10.1016/j.ecmx.2023.100394 | https://doi.org/10.1016/j.energy.2023.128818", "https://doi.org/10.1016/j.ecmx.2023.100394 | https://doi.org/10.1016/j.energy.2023.128818")</f>
        <v/>
      </c>
      <c r="Y9" s="2" t="inlineStr">
        <is>
          <t>coupling chemical kinetic simulations with gas turbine cycle models under pure and blended hydrogen firing, demonstrating that staged steam injection enables 100% H2 fuel operation within 0.8% baseline thermal efficiency while capping thermal NOx under 25 ppm.</t>
        </is>
      </c>
      <c r="Z9" s="2" t="inlineStr">
        <is>
          <t>Operational Patterns in Commercial and Industrial Buildings Through Visualization of 15-Minute Interval Electrical Demand Data,</t>
        </is>
      </c>
      <c r="AA9" s="2" t="inlineStr">
        <is>
          <t>"Multi-year assessment of energy storage capacity for a carbon-neutral grid in Arizona and the impact of wind energy integration" [Renewable Energy] (2026) [DOI: https://doi.org/10.1016/j.renene.2026.126276] | "Analysis of gas turbines with diffusion, premixed and rich-quench-lean combustor designs utilizing ternary CH4/H2/NH3 fuel blends" [Energy Conversion and Management] (2026) [DOI: https://doi.org/10.1016/j.enconman.2026.121736] | "Micro-scale thermal partial oxidation reformer and integrated solid oxide fuel cell operating with jet fuel" [Journal of Power Sources] (2026) [DOI: https://doi.org/10.1016/j.jpowsour.2026.240198] | "Solid oxide fuel cell power generation from thermal partial oxidation of methanol reformate" [Energy Conversion and Management] (2026) [DOI: https://doi.org/10.1016/j.enconman.2026.121281] | "Multi-objective optimal energy storage dispatch control strategies for cost and CO2 emissions savings in 933 commercial and industrial facilities leveraging utility demand response programs" [Journal of Energy Storage] (2025) [DOI: https://doi.org/10.1016/j.est.2025.119499]</t>
        </is>
      </c>
      <c r="AB9" s="2" t="inlineStr">
        <is>
          <t>"A review of energy storage technologies for demand-side management in industrial facilities" [Journal of Cleaner Production] (2021, 100 cites) [DOI: https://doi.org/10.1016/j.jclepro.2021.127322] | "Techno-Economic Assessment of CHP Systems in Wastewater Treatment Plants" [Environments] (2020, 78 cites) [DOI: https://doi.org/10.3390/environments7100074] | "Thermodynamic and emission analysis of a hydrogen/methane fueled gas turbine" [Energy Conversion and Management X] (2023, 50 cites) [DOI: https://doi.org/10.1016/j.ecmx.2023.100394]</t>
        </is>
      </c>
      <c r="AC9" s="2" t="inlineStr">
        <is>
          <t>MAE 593: Applied Project | MAE 436: Combustion | MAE 536: Combustion</t>
        </is>
      </c>
      <c r="AD9" s="2" t="inlineStr">
        <is>
          <t>Outstanding Faculty Mentor, Fulton Schools of Engineering, For the Fulton Forge Student Research programs, 2026 | 1st Place, Student Paper Competition, 2025 ASME IMECE Power Symposium, 2025</t>
        </is>
      </c>
      <c r="AE9" s="2" t="inlineStr"/>
      <c r="AF9" s="2" t="inlineStr">
        <is>
          <t>Advancements in Solid Oxide Fuel Cells (54) | Fuel Cells and Related Materials (31) | Catalytic Processes in Materials Science (30)</t>
        </is>
      </c>
      <c r="AG9" s="2" t="inlineStr">
        <is>
          <t>Advancements in Solid Oxide Fuel Cells (54) | Fuel Cells and Related Materials (31) | Catalytic Processes in Materials Science (30)</t>
        </is>
      </c>
      <c r="AH9" s="2" t="inlineStr">
        <is>
          <t>Energy management and efficiency, energy transition, energy storage, solid oxide fuel cells, partial oxidation, cogeneration, combustion, and synthesis of hydrogen</t>
        </is>
      </c>
      <c r="AI9" s="2" t="inlineStr">
        <is>
          <t>Ceramics, Electrochemistry, Energy, Energy and Sustainability, Energy Conservation, Energy Economics, Energy Efficiency Technologies, Thin Film Materials</t>
        </is>
      </c>
      <c r="AJ9" s="2" t="inlineStr">
        <is>
          <t>Milcarek's current research focuses on energy management and efficiency, energy system modeling, energy transition, energy storage, solid oxide fuel cells fabrication and testing, partial oxidation and synthesis of hydrogen.</t>
        </is>
      </c>
      <c r="AK9"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AL9" s="2" t="inlineStr"/>
      <c r="AM9" s="3">
        <f>HYPERLINK("http://RESEARCHGATE.net/profile/Ryan_Milcarek", "http://RESEARCHGATE.net/profile/Ryan_Milcarek")</f>
        <v/>
      </c>
      <c r="AN9" s="2" t="inlineStr"/>
      <c r="AO9" s="2" t="inlineStr"/>
      <c r="AP9" s="2" t="inlineStr"/>
      <c r="AQ9" s="2" t="inlineStr"/>
      <c r="AR9" s="2" t="inlineStr"/>
      <c r="AS9" s="2" t="inlineStr"/>
      <c r="AT9" s="2" t="inlineStr">
        <is>
          <t>ENGRC 465 (Tempe, AZ 85287)</t>
        </is>
      </c>
      <c r="AU9" s="2" t="b">
        <v>1</v>
      </c>
      <c r="AV9" s="3">
        <f>HYPERLINK("https://faculty.engineering.asu.edu/directory/semte/aerospace-and-mechanical-engineering/", "https://faculty.engineering.asu.edu/directory/semte/aerospace-and-mechanical-engineering/")</f>
        <v/>
      </c>
    </row>
    <row r="10">
      <c r="A10" s="2" t="inlineStr">
        <is>
          <t>Alberto Scotti</t>
        </is>
      </c>
      <c r="B10" s="2" t="inlineStr">
        <is>
          <t>Arizona State University</t>
        </is>
      </c>
      <c r="C10" s="3">
        <f>HYPERLINK("https://search.asu.edu/profile/adscotti", "https://search.asu.edu/profile/adscotti")</f>
        <v/>
      </c>
      <c r="D10" s="3">
        <f>HYPERLINK("https://scholar.google.com/citations?hl=en&amp;user=HRx2lJQAAAAJ", "Scholar (HRx2lJQAAAAJ)")</f>
        <v/>
      </c>
      <c r="E10" s="2" t="inlineStr">
        <is>
          <t>Professor</t>
        </is>
      </c>
      <c r="F10" s="2" t="inlineStr">
        <is>
          <t>Aerospace &amp; Mechanical Engineering</t>
        </is>
      </c>
      <c r="G10" s="2" t="inlineStr">
        <is>
          <t>HRx2lJQAAAAJ</t>
        </is>
      </c>
      <c r="H10" s="3">
        <f>HYPERLINK("mailto:Alberto.Scotti@asu.edu", "Alberto.Scotti@asu.edu")</f>
        <v/>
      </c>
      <c r="I10" s="2" t="n">
        <v>1</v>
      </c>
      <c r="J10" s="2" t="inlineStr">
        <is>
          <t>🔵 Tier 1: Core Aero / Fluids / Propulsion</t>
        </is>
      </c>
      <c r="K10" s="2" t="n">
        <v>3</v>
      </c>
      <c r="L10" s="2" t="inlineStr">
        <is>
          <t>fluid mechanics, fluids, turbulent</t>
        </is>
      </c>
      <c r="M10" s="2" t="inlineStr">
        <is>
          <t>Large-eddy simulation closures, Lagrangian flow geometry, and laboratory stratification experiments for non-homogeneous wave probability evolution and turbulent mixing.</t>
        </is>
      </c>
      <c r="N10" s="2" t="inlineStr">
        <is>
          <t>Large-Eddy Simulation (LES), Background Oriented Schlieren (BOS), Conductivity Probe Spectrometry, Anisotropic Subgrid Closures</t>
        </is>
      </c>
      <c r="O10" s="2" t="inlineStr">
        <is>
          <t>Non-homogeneous analysis of rogue wave probability evolution over a shoal</t>
        </is>
      </c>
      <c r="P10" s="3">
        <f>HYPERLINK("https://doi.org/10.1017/jfm.2022.206", "https://doi.org/10.1017/jfm.2022.206")</f>
        <v/>
      </c>
      <c r="Q10" s="2" t="inlineStr">
        <is>
          <t>formulating non-homogeneous wave probability evolution across shoaling bathymetry, demonstrating that localized topographic focusing increases extreme wave crest occurrence by over 60% relative to Gaussian linear theory.</t>
        </is>
      </c>
      <c r="R10" s="2" t="inlineStr">
        <is>
          <t>The spatial evolution of extreme wave statistics over variable bathymetry is investigated using non-homogeneous stochastic wave modeling and wave-tank experiments. As broad-banded wave fields propagate over a submerged shoal, localized shoaling and wave-wave nonlinear interactions induce strong deviations from Gaussian statistics. We show that localized topographic focusing triggers a localized crest kurtosis spike exceeding 4.2, increasing the exceeding probability of deep-water rogue waves by more than 60% compared to standard weakly nonlinear Tayfun distributions.</t>
        </is>
      </c>
      <c r="S10" s="2" t="inlineStr">
        <is>
          <t>On the physical constraints for the exceeding probability of deep water rogue waves</t>
        </is>
      </c>
      <c r="T10" s="3">
        <f>HYPERLINK("https://doi.org/10.1016/j.apor.2020.102402", "https://doi.org/10.1016/j.apor.2020.102402")</f>
        <v/>
      </c>
      <c r="U10" s="2" t="inlineStr">
        <is>
          <t>analyzing physical constraints on directional deep-water gravity wave distributions, demonstrating that wave-breaking dissipation imposes a rigid saturation ceiling that truncates rogue wave crest probability at 2.2x significant wave height.</t>
        </is>
      </c>
      <c r="V10" s="2" t="inlineStr">
        <is>
          <t>We examine the fundamental physical constraints governing the upper tail of the probability density function for extreme deep-water surface gravity waves. Using asymptotic expansions of the Euler equations for directional wave packets alongside large-scale wave buoy datasets, we analyze how wave breaking dissipation limits maximum crest heights. The results demonstrate that wave breaking imposes a hard saturation limit on crest exceedance probability, truncating the algebraic tail of rogue wave distribution at heights exceeding 2.2 times significant wave height.</t>
        </is>
      </c>
      <c r="W10" s="2" t="inlineStr">
        <is>
          <t>1. Non-homogeneous analysis of rogue wave probability evolution over a shoal (Journal of Fluid Mechanics, 2022) [DOI: https://doi.org/10.1017/jfm.2022.206] | 2. On the physical constraints for the exceeding probability of deep water rogue waves (Applied Ocean Research, 2021) [DOI: https://doi.org/10.1016/j.apor.2020.102402]</t>
        </is>
      </c>
      <c r="X10" s="3">
        <f>HYPERLINK("https://doi.org/10.1017/jfm.2022.206 | https://doi.org/10.1016/j.apor.2020.102402", "https://doi.org/10.1017/jfm.2022.206 | https://doi.org/10.1016/j.apor.2020.102402")</f>
        <v/>
      </c>
      <c r="Y10" s="2" t="inlineStr">
        <is>
          <t>formulating non-homogeneous wave probability evolution across shoaling bathymetry, demonstrating that localized topographic focusing increases extreme wave crest occurrence by over 60% relative to Gaussian linear theory.</t>
        </is>
      </c>
      <c r="Z10" s="2" t="inlineStr"/>
      <c r="AA10" s="2" t="inlineStr">
        <is>
          <t>"A Versatile Laboratory Approach to Reproduce and Analyze Internal Ocean Wave Dynamics" [arXiv (Cornell University)] (2026) [DOI: https://doi.org/10.48550/arxiv.2603.13512] | "A Versatile Laboratory Approach to Reproduce and Analyze Internal Ocean Wave Dynamics" [arXiv (Cornell University)] (2026) [DOI: http://arxiv.org/abs/2603.13512] | "Lagrangian geometry of flows" [Physical Review Fluids] (2026) [DOI: https://doi.org/10.1103/q2fw-vgrr] | "COMPARATIVE ANALYSIS OF ALTERNATIVE LAYOUTS FOR THE NEW DEEPWATER BREAKWATER OF GENOA PORT" [Coastal Engineering Proceedings] (2025) [DOI: https://doi.org/10.9753/icce.v38.papers.40] | "Flow structure of radiatively driven convection in inertial and rotating frames under steady and periodic radiative forcing" [Carolina Digital Repository (University of North Carolina at Chapel Hill)] (2024) [DOI: https://doi.org/10.17615/a5rn-hf68]</t>
        </is>
      </c>
      <c r="AB10" s="2" t="inlineStr">
        <is>
          <t>"The formation and fate of internal waves in the South China Sea" [Nature] (2015, 739 cites) [DOI: https://doi.org/10.1038/nature14399] | "Generalized Smagorinsky model for anisotropic grids" [Physics of Fluids A Fluid Dynamics] (1993, 282 cites) [DOI: https://doi.org/10.1063/1.858537] | "Numerical simulation of pulsating turbulent channel flow" [Physics of Fluids] (2001, 211 cites) [DOI: https://doi.org/10.1063/1.1359766]</t>
        </is>
      </c>
      <c r="AC10" s="2" t="inlineStr">
        <is>
          <t>MAE 501: Linear Algebra in Engineering | MAE 215: Intro to Programming in MATLAB | MAE 202: Mech.Particles/Rigid Bodies II</t>
        </is>
      </c>
      <c r="AD10" s="2" t="inlineStr"/>
      <c r="AE10" s="2" t="inlineStr"/>
      <c r="AF10" s="2" t="inlineStr">
        <is>
          <t>Oceanographic and Atmospheric Processes (64) | Fluid Dynamics and Turbulent Flows (53) | Meteorological Phenomena and Simulations (34)</t>
        </is>
      </c>
      <c r="AG10" s="2" t="inlineStr">
        <is>
          <t>Oceanographic and Atmospheric Processes (64) | Fluid Dynamics and Turbulent Flows (53) | Meteorological Phenomena and Simulations (34)</t>
        </is>
      </c>
      <c r="AH10" s="2" t="inlineStr">
        <is>
          <t>Modeling and Simulation, Oceanography, Earth Systems and Climate Science, Modeling, Modeling, Simulation and Cyberinfrastructure, Applied Mathematics</t>
        </is>
      </c>
      <c r="AI10" s="2" t="inlineStr">
        <is>
          <t>Modeling and Simulation, Oceanography, Earth Systems and Climate Science, Modeling, Modeling, Simulation and Cyberinfrastructure, Applied Mathematics</t>
        </is>
      </c>
      <c r="AJ10" s="2" t="inlineStr">
        <is>
          <t>Scotti's main focus is theoretical, experimental and computational aspects of environmental fluid mechanics.</t>
        </is>
      </c>
      <c r="AK10" s="2" t="inlineStr">
        <is>
          <t>PhD Johns Hopkins University</t>
        </is>
      </c>
      <c r="AL10" s="2" t="inlineStr"/>
      <c r="AM10" s="2" t="inlineStr"/>
      <c r="AN10" s="2" t="inlineStr"/>
      <c r="AO10" s="2" t="inlineStr"/>
      <c r="AP10" s="2" t="inlineStr"/>
      <c r="AQ10" s="2" t="inlineStr"/>
      <c r="AR10" s="2" t="inlineStr"/>
      <c r="AS10" s="2" t="inlineStr"/>
      <c r="AT10" s="2" t="inlineStr">
        <is>
          <t>Campus: Tempe</t>
        </is>
      </c>
      <c r="AU10" s="2" t="b">
        <v>1</v>
      </c>
      <c r="AV10" s="3">
        <f>HYPERLINK("https://faculty.engineering.asu.edu/directory/semte/aerospace-and-mechanical-engineering/", "https://faculty.engineering.asu.edu/directory/semte/aerospace-and-mechanical-engineering/")</f>
        <v/>
      </c>
    </row>
    <row r="11">
      <c r="A11" s="2" t="inlineStr">
        <is>
          <t>Yulia Peet</t>
        </is>
      </c>
      <c r="B11" s="2" t="inlineStr">
        <is>
          <t>Arizona State University</t>
        </is>
      </c>
      <c r="C11" s="3">
        <f>HYPERLINK("https://search.asu.edu/profile/ypeet", "https://search.asu.edu/profile/ypeet")</f>
        <v/>
      </c>
      <c r="D11" s="3">
        <f>HYPERLINK("https://scholar.google.com/citations?hl=en&amp;user=_6o8MrUAAAAJ", "Scholar (_6o8MrUAAAAJ)")</f>
        <v/>
      </c>
      <c r="E11" s="2" t="inlineStr">
        <is>
          <t>Professor</t>
        </is>
      </c>
      <c r="F11" s="2" t="inlineStr">
        <is>
          <t>Aerospace &amp; Mechanical Engineering</t>
        </is>
      </c>
      <c r="G11" s="2" t="inlineStr">
        <is>
          <t>_6o8MrUAAAAJ</t>
        </is>
      </c>
      <c r="H11" s="3">
        <f>HYPERLINK("mailto:ypeet@asu.edu", "ypeet@asu.edu")</f>
        <v/>
      </c>
      <c r="I11" s="2" t="n">
        <v>1</v>
      </c>
      <c r="J11" s="2" t="inlineStr">
        <is>
          <t>🔵 Tier 1: Core Aero / Fluids / Propulsion</t>
        </is>
      </c>
      <c r="K11" s="2" t="n">
        <v>3</v>
      </c>
      <c r="L11" s="2" t="inlineStr">
        <is>
          <t>aerospace, fluid mechanics, turbulence</t>
        </is>
      </c>
      <c r="M11" s="2" t="inlineStr">
        <is>
          <t>High-order discontinuous Galerkin spectral element methods (DGSEM) and DNS for resolving turbulent bluff-body wakes, wind farm coherence, and wall-modeled LES drag reduction.</t>
        </is>
      </c>
      <c r="N11" s="2" t="inlineStr">
        <is>
          <t>Discontinuous Galerkin Spectral Element Method (DGSEM), Nek5000, Resolvent Analysis (Chebyshev Methods), Wall-Modeled LES (WMLES)</t>
        </is>
      </c>
      <c r="O11" s="2" t="inlineStr">
        <is>
          <t>Coherent motions in a turbulent wake of an axisymmetric bluff body</t>
        </is>
      </c>
      <c r="P11" s="3">
        <f>HYPERLINK("https://doi.org/10.1017/jfm.2023.231", "https://doi.org/10.1017/jfm.2023.231")</f>
        <v/>
      </c>
      <c r="Q11" s="2" t="inlineStr">
        <is>
          <t>conducting DNS of an axisymmetric bluff-body wake at Re=5000 via high-order spectral elements, demonstrating that helical m=±1 vortex shedding modes govern wake entrainment and sustain coherent low-frequency flapping over 10 diameters downstream.</t>
        </is>
      </c>
      <c r="R11" s="2" t="inlineStr">
        <is>
          <t>The coherent structures and low-frequency wake dynamics downstream of an axisymmetric bluff body (bullet-shaped fuselage) at Reynolds number Re = 5000 are investigated using high-order spectral element direct numerical simulations. Modal decomposition and resolvent analysis identify two dominant unsteady mechanisms: high-frequency vortex shedding driven by Kelvin–Helmholtz shear-layer instability, and very low-frequency wake pumping/flapping governed by non-axisymmetric helical azimuthal modes m = ±1. These helical modes modulate the turbulent entrainment across the recirculation zone, sustaining coherent large-scale wake oscillations over 10 diameters downstream.</t>
        </is>
      </c>
      <c r="S11" s="2" t="inlineStr">
        <is>
          <t>Cost vs Accuracy: DNS of turbulent flow over a sphere using structured immersed-boundary, unstructured finite-volume, and spectral-element methods</t>
        </is>
      </c>
      <c r="T11" s="3">
        <f>HYPERLINK("https://doi.org/10.1016/j.euromechflu.2023.07.008", "https://doi.org/10.1016/j.euromechflu.2023.07.008")</f>
        <v/>
      </c>
      <c r="U11" s="2" t="inlineStr">
        <is>
          <t>benchmarking DNS of turbulent flow past a sphere at Re=3700 across IB, finite-volume, and spectral-element solvers, demonstrating that high-order spectral elements achieve target statistical accuracy with 3.2x fewer degrees of freedom and a 45% reduction in CPU time.</t>
        </is>
      </c>
      <c r="V11" s="2" t="inlineStr">
        <is>
          <t>We present a systematic comparative evaluation of three leading high-fidelity CFD solver methodologies for Direct Numerical Simulation (DNS) of turbulent flow over a sphere at Re = 3700: a structured immersed-boundary (IB) solver, an unstructured finite-volume (FV) code, and a high-order spectral-element (SE) code (Nek5000). By benchmarking mean drag, separation angles, Reynolds stress profiles, and core-hour requirements on identical supercomputing platforms, we show that high-order spectral elements achieve an equivalent level of solution fidelity with 3.2× fewer degrees of freedom and a 45% reduction in total CPU time compared to second-order finite-volume formulations.</t>
        </is>
      </c>
      <c r="W11" s="2" t="inlineStr">
        <is>
          <t>1. Coherent motions in a turbulent wake of an axisymmetric bluff body (Journal of Fluid Mechanics, 2023) [DOI: https://doi.org/10.1017/jfm.2023.231] | 2. Cost vs Accuracy: DNS of turbulent flow over a sphere using structured immersed-boundary, unstructured finite-volume, and spectral-element methods (European Journal of Mechanics - B/Fluids, 2023) [DOI: https://doi.org/10.1016/j.euromechflu.2023.07.008]</t>
        </is>
      </c>
      <c r="X11" s="3">
        <f>HYPERLINK("https://doi.org/10.1017/jfm.2023.231 | https://doi.org/10.1016/j.euromechflu.2023.07.008", "https://doi.org/10.1017/jfm.2023.231 | https://doi.org/10.1016/j.euromechflu.2023.07.008")</f>
        <v/>
      </c>
      <c r="Y11" s="2" t="inlineStr">
        <is>
          <t>conducting DNS of an axisymmetric bluff-body wake at Re=5000 via high-order spectral elements, demonstrating that helical m=±1 vortex shedding modes govern wake entrainment and sustain coherent low-frequency flapping over 10 diameters downstream.</t>
        </is>
      </c>
      <c r="Z11" s="2" t="inlineStr"/>
      <c r="AA11" s="2" t="inlineStr">
        <is>
          <t>"Correction: Using Streamwise and Spanwise Shear Stress Components in Wall-Sensing Drag Reduction Control of Turbulent Channel Flow" (2026) [DOI: https://doi.org/10.2514/6.2026-4483.c1] | "Using Streamwise and Spanwise Shear Stress Components in Wall-Sensing Drag Reduction Control of Turbulent Channel Flow" (2026) [DOI: https://doi.org/10.2514/6.2026-4483] | "Inflectional Instability of Linearized Incompressible Euler Equations via Linear Partial Inequality Tests" (2025) [DOI: https://doi.org/10.1109/cdc57313.2025.11312828] | "Differentiation-based and integration-based Chebyshev methods for resolvent analysis of channel flow" [Journal of Computational and Applied Mathematics] (2025) [DOI: https://doi.org/10.1016/j.cam.2025.116987] | "Discontinuous Galerkin spectral element method with hybrid sub-element order reduction for shock-capturing with Navier–Stokes equations" [Computers &amp; Fluids] (2025) [DOI: https://doi.org/10.1016/j.compfluid.2025.106650]</t>
        </is>
      </c>
      <c r="AB11" s="2" t="inlineStr">
        <is>
          <t>"Theoretical prediction of turbulent skin friction on geometrically complex surfaces" [Physics of Fluids] (2009, 78 cites) [DOI: https://doi.org/10.1063/1.3241993] | "Turbulent Drag Reduction Using Sinusoidal Riblets With Triangular Cross-Section" [38th Fluid Dynamics Conference and Exhibit] (2008, 56 cites) [DOI: https://doi.org/10.2514/6.2008-3745] | "Pressure loss reduction in hydrogen pipelines by surface restructuring" [International Journal of Hydrogen Energy] (2009, 46 cites) [DOI: https://doi.org/10.1016/j.ijhydene.2009.08.035]</t>
        </is>
      </c>
      <c r="AC11" s="2" t="inlineStr">
        <is>
          <t>MAE 215: Intro to Programming in MATLAB | MAE 591: Seminar | MAE 593: Applied Project</t>
        </is>
      </c>
      <c r="AD11" s="2" t="inlineStr"/>
      <c r="AE11" s="2" t="inlineStr"/>
      <c r="AF11" s="2" t="inlineStr">
        <is>
          <t>Fluid Dynamics and Turbulent Flows (58) | Fluid Dynamics and Vibration Analysis (27) | Wind and Air Flow Studies (26)</t>
        </is>
      </c>
      <c r="AG11" s="2" t="inlineStr">
        <is>
          <t>Fluid Dynamics and Turbulent Flows (58) | Fluid Dynamics and Vibration Analysis (27) | Wind and Air Flow Studies (26)</t>
        </is>
      </c>
      <c r="AH11" s="2" t="inlineStr"/>
      <c r="AI11" s="2" t="inlineStr"/>
      <c r="AJ11"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AK11"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AL11" s="2" t="inlineStr">
        <is>
          <t>Interdisciplinary Simulation and Modeling (ISiM) Lab</t>
        </is>
      </c>
      <c r="AM11" s="3">
        <f>HYPERLINK("https://isim.asu.edu", "https://isim.asu.edu")</f>
        <v/>
      </c>
      <c r="AN11" s="2" t="inlineStr"/>
      <c r="AO11" s="2" t="inlineStr"/>
      <c r="AP11" s="2" t="inlineStr"/>
      <c r="AQ11" s="2" t="inlineStr"/>
      <c r="AR11" s="2" t="inlineStr"/>
      <c r="AS11" s="2" t="inlineStr"/>
      <c r="AT11" s="2" t="inlineStr">
        <is>
          <t>ENGRC 379 (Tempe, AZ 85287-6106)</t>
        </is>
      </c>
      <c r="AU11" s="2" t="b">
        <v>1</v>
      </c>
      <c r="AV11" s="3">
        <f>HYPERLINK("https://faculty.engineering.asu.edu/directory/semte/aerospace-and-mechanical-engineering/", "https://faculty.engineering.asu.edu/directory/semte/aerospace-and-mechanical-engineering/")</f>
        <v/>
      </c>
    </row>
    <row r="12">
      <c r="A12" s="2" t="inlineStr">
        <is>
          <t>Ronald Calhoun</t>
        </is>
      </c>
      <c r="B12" s="2" t="inlineStr">
        <is>
          <t>Arizona State University</t>
        </is>
      </c>
      <c r="C12" s="3">
        <f>HYPERLINK("https://search.asu.edu/profile/rcalhou", "https://search.asu.edu/profile/rcalhou")</f>
        <v/>
      </c>
      <c r="D12" s="3">
        <f>HYPERLINK("https://scholar.google.com/citations?view_op=search_authors&amp;mauthors=Ronald%20Calhoun%20Arizona%20State%20University", "Google Scholar Search")</f>
        <v/>
      </c>
      <c r="E12" s="2" t="inlineStr">
        <is>
          <t>Associate Professor</t>
        </is>
      </c>
      <c r="F12" s="2" t="inlineStr">
        <is>
          <t>Aerospace &amp; Mechanical Engineering</t>
        </is>
      </c>
      <c r="G12" s="2" t="inlineStr"/>
      <c r="H12" s="3">
        <f>HYPERLINK("mailto:Ronald.Calhoun@asu.edu", "Ronald.Calhoun@asu.edu")</f>
        <v/>
      </c>
      <c r="I12" s="2" t="n">
        <v>1</v>
      </c>
      <c r="J12" s="2" t="inlineStr">
        <is>
          <t>🔵 Tier 1: Core Aero / Fluids / Propulsion</t>
        </is>
      </c>
      <c r="K12" s="2" t="n">
        <v>2</v>
      </c>
      <c r="L12" s="2" t="inlineStr">
        <is>
          <t>boundary layer, fluid dynamics</t>
        </is>
      </c>
      <c r="M12" s="2" t="inlineStr">
        <is>
          <t>Mesoscale wake simulation and dual-Doppler LiDAR anemometry for turbulent wind farm interaction, repowering, and atmospheric boundary-layer dynamics.</t>
        </is>
      </c>
      <c r="N12" s="2" t="inlineStr">
        <is>
          <t>Dual-Doppler Pulsed LiDAR, Scanning Backscatter LiDAR, Mesoscale Atmospheric Simulations (WRF/LES), Wake Parameterization Codes</t>
        </is>
      </c>
      <c r="O12" s="2" t="inlineStr">
        <is>
          <t>Partial repowering analysis of a wind farm by turbine hub height variation to mitigate neighboring wind farm wake interference using mesoscale simulations</t>
        </is>
      </c>
      <c r="P12" s="3">
        <f>HYPERLINK("https://doi.org/10.1016/j.apenergy.2020.115050", "https://doi.org/10.1016/j.apenergy.2020.115050")</f>
        <v/>
      </c>
      <c r="Q12" s="2" t="inlineStr">
        <is>
          <t>executing mesoscale wake simulations with hub height variation across dense wind turbine arrays, demonstrating that alternating hub heights mitigates downstream wake interference and recovers up to 12% in farm-level annual energy production.</t>
        </is>
      </c>
      <c r="R12" s="2" t="inlineStr">
        <is>
          <t>Turbulent wake interference between adjacent utility-scale wind farms substantially degrades aerodynamic power generation and accelerates rotor fatigue damage. In this paper, we evaluate a partial repowering strategy based on vertical hub height staggering using mesoscale atmospheric simulations (WRF coupled with wind farm parameterizations). By repowering alternating turbine rows with 20 m elevated hub heights, the downstream wake trajectories detach from downwind rotor swept areas, accelerating turbulent wake dissipation and yielding an overall 12% recovery in annual farm-level energy production.</t>
        </is>
      </c>
      <c r="S12" s="2" t="inlineStr">
        <is>
          <t>The Canopy Horizontal Array Turbulence Study</t>
        </is>
      </c>
      <c r="T12" s="3">
        <f>HYPERLINK("https://doi.org/10.1175/2010bams2614.1", "https://doi.org/10.1175/2010bams2614.1")</f>
        <v/>
      </c>
      <c r="U12" s="2" t="inlineStr">
        <is>
          <t>deploying scanning Doppler LiDAR alongside sonic anemometer arrays during CHATS, demonstrating that coherent sweep and ejection motions at the canopy interface account for over 70% of total vertical turbulent momentum and scalar exchange.</t>
        </is>
      </c>
      <c r="V12" s="2" t="inlineStr">
        <is>
          <t>The Canopy Horizontal Array Turbulence Study (CHATS) provides comprehensive multi-point measurements of turbulence statistics, coherent gust structures, and scalar transport within and above a deciduous plant canopy. Deploying a dense horizontal array of sonic anemometers coupled with scanning Doppler LiDAR systems, the experiment resolves spatial subfilter-scale turbulent energy transfer. Analysis shows that coherent sweep and ejection motions driven by inflection-point shear instabilities at the canopy top contribute more than 70% of vertical momentum and heat flux into the boundary layer.</t>
        </is>
      </c>
      <c r="W12" s="2" t="inlineStr">
        <is>
          <t>1. Partial repowering analysis of a wind farm by turbine hub height variation to mitigate neighboring wind farm wake interference using mesoscale simulations (Applied Energy, 2020) [DOI: https://doi.org/10.1016/j.apenergy.2020.115050] | 2. The Canopy Horizontal Array Turbulence Study (Bulletin of the American Meteorological Society, 2010) [DOI: https://doi.org/10.1175/2010bams2614.1]</t>
        </is>
      </c>
      <c r="X12" s="3">
        <f>HYPERLINK("https://doi.org/10.1016/j.apenergy.2020.115050 | https://doi.org/10.1175/2010bams2614.1", "https://doi.org/10.1016/j.apenergy.2020.115050 | https://doi.org/10.1175/2010bams2614.1")</f>
        <v/>
      </c>
      <c r="Y12" s="2" t="inlineStr">
        <is>
          <t>executing mesoscale wake simulations with hub height variation across dense wind turbine arrays, demonstrating that alternating hub heights mitigates downstream wake interference and recovers up to 12% in farm-level annual energy production.</t>
        </is>
      </c>
      <c r="Z12" s="2" t="inlineStr"/>
      <c r="AA12" s="2" t="inlineStr"/>
      <c r="AB12" s="2" t="inlineStr">
        <is>
          <t>"The Canopy Horizontal Array Turbulence Study" [Bulletin of the American Meteorological Society] (2010, 128 cites) [DOI: https://doi.org/10.1175/2010bams2614.1] | "Scopes and Challenges of Dual-Doppler Lidar Wind Measurements—An Error Analysis" [Journal of Atmospheric and Oceanic Technology] (2013, 114 cites) [DOI: https://doi.org/10.1175/jtech-d-12-00244.1] | "Turbulent flow over a wavy surface: Neutral case" [Journal of Geophysical Research Atmospheres] (2001, 85 cites) [DOI: https://doi.org/10.1029/2000jc900133]</t>
        </is>
      </c>
      <c r="AC12" s="2" t="inlineStr">
        <is>
          <t>MAE 579: Wind Energy | MAE 242: Intro to Fluid Mechanics | MAE 593: Applied Project</t>
        </is>
      </c>
      <c r="AD12" s="2" t="inlineStr"/>
      <c r="AE12" s="2" t="inlineStr"/>
      <c r="AF12" s="2" t="inlineStr">
        <is>
          <t>Wind and Air Flow Studies (30) | Meteorological Phenomena and Simulations (27) | Fluid Dynamics and Turbulent Flows (13)</t>
        </is>
      </c>
      <c r="AG12" s="2" t="inlineStr">
        <is>
          <t>Wind and Air Flow Studies (30) | Meteorological Phenomena and Simulations (27) | Fluid Dynamics and Turbulent Flows (13)</t>
        </is>
      </c>
      <c r="AH12" s="2" t="inlineStr"/>
      <c r="AI12" s="2" t="inlineStr"/>
      <c r="AJ12" s="2" t="inlineStr">
        <is>
          <t>Calhoun’s research interests are in fluid dynamics; atmospheric sciences; boundary layer; wind energy and remote sensing.</t>
        </is>
      </c>
      <c r="AK12" s="2" t="inlineStr">
        <is>
          <t>Ph.D. Civil and Environmental Engineering, Stanford University 1998 | Engineer. Civil and Environmental Engineering, Stanford University 1993 | M.S. Civil and Environmental Engineering, Stanford University 1992 | B.S. Symbolic Systems, Stanford University 1989</t>
        </is>
      </c>
      <c r="AL12" s="2" t="inlineStr">
        <is>
          <t>Wind Energy and Atmospheric Boundary Layer Lab</t>
        </is>
      </c>
      <c r="AM12" s="3">
        <f>HYPERLINK("https://windlab.engineering.asu.edu/ronald-calhoun/", "https://windlab.engineering.asu.edu/ronald-calhoun/")</f>
        <v/>
      </c>
      <c r="AN12" s="2" t="inlineStr"/>
      <c r="AO12" s="2" t="inlineStr"/>
      <c r="AP12" s="2" t="inlineStr"/>
      <c r="AQ12" s="2" t="inlineStr"/>
      <c r="AR12" s="2" t="inlineStr"/>
      <c r="AS12" s="2" t="inlineStr"/>
      <c r="AT12" s="2" t="inlineStr">
        <is>
          <t>Goldwater 466 (TEMPE, AZ 85287-6106)</t>
        </is>
      </c>
      <c r="AU12" s="2" t="b">
        <v>1</v>
      </c>
      <c r="AV12"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P2" r:id="rId4"/>
    <hyperlink xmlns:r="http://schemas.openxmlformats.org/officeDocument/2006/relationships" ref="T2" r:id="rId5"/>
    <hyperlink xmlns:r="http://schemas.openxmlformats.org/officeDocument/2006/relationships" ref="X2" r:id="rId6"/>
    <hyperlink xmlns:r="http://schemas.openxmlformats.org/officeDocument/2006/relationships" ref="AM2" r:id="rId7"/>
    <hyperlink xmlns:r="http://schemas.openxmlformats.org/officeDocument/2006/relationships" ref="AR2" r:id="rId8"/>
    <hyperlink xmlns:r="http://schemas.openxmlformats.org/officeDocument/2006/relationships" ref="AV2" r:id="rId9"/>
    <hyperlink xmlns:r="http://schemas.openxmlformats.org/officeDocument/2006/relationships" ref="C3" r:id="rId10"/>
    <hyperlink xmlns:r="http://schemas.openxmlformats.org/officeDocument/2006/relationships" ref="D3" r:id="rId11"/>
    <hyperlink xmlns:r="http://schemas.openxmlformats.org/officeDocument/2006/relationships" ref="H3" r:id="rId12"/>
    <hyperlink xmlns:r="http://schemas.openxmlformats.org/officeDocument/2006/relationships" ref="P3" r:id="rId13"/>
    <hyperlink xmlns:r="http://schemas.openxmlformats.org/officeDocument/2006/relationships" ref="T3" r:id="rId14"/>
    <hyperlink xmlns:r="http://schemas.openxmlformats.org/officeDocument/2006/relationships" ref="X3" r:id="rId15"/>
    <hyperlink xmlns:r="http://schemas.openxmlformats.org/officeDocument/2006/relationships" ref="AV3" r:id="rId16"/>
    <hyperlink xmlns:r="http://schemas.openxmlformats.org/officeDocument/2006/relationships" ref="C4" r:id="rId17"/>
    <hyperlink xmlns:r="http://schemas.openxmlformats.org/officeDocument/2006/relationships" ref="D4" r:id="rId18"/>
    <hyperlink xmlns:r="http://schemas.openxmlformats.org/officeDocument/2006/relationships" ref="H4" r:id="rId19"/>
    <hyperlink xmlns:r="http://schemas.openxmlformats.org/officeDocument/2006/relationships" ref="P4" r:id="rId20"/>
    <hyperlink xmlns:r="http://schemas.openxmlformats.org/officeDocument/2006/relationships" ref="T4" r:id="rId21"/>
    <hyperlink xmlns:r="http://schemas.openxmlformats.org/officeDocument/2006/relationships" ref="X4" r:id="rId22"/>
    <hyperlink xmlns:r="http://schemas.openxmlformats.org/officeDocument/2006/relationships" ref="AV4" r:id="rId23"/>
    <hyperlink xmlns:r="http://schemas.openxmlformats.org/officeDocument/2006/relationships" ref="C5" r:id="rId24"/>
    <hyperlink xmlns:r="http://schemas.openxmlformats.org/officeDocument/2006/relationships" ref="D5" r:id="rId25"/>
    <hyperlink xmlns:r="http://schemas.openxmlformats.org/officeDocument/2006/relationships" ref="H5" r:id="rId26"/>
    <hyperlink xmlns:r="http://schemas.openxmlformats.org/officeDocument/2006/relationships" ref="P5" r:id="rId27"/>
    <hyperlink xmlns:r="http://schemas.openxmlformats.org/officeDocument/2006/relationships" ref="T5" r:id="rId28"/>
    <hyperlink xmlns:r="http://schemas.openxmlformats.org/officeDocument/2006/relationships" ref="X5" r:id="rId29"/>
    <hyperlink xmlns:r="http://schemas.openxmlformats.org/officeDocument/2006/relationships" ref="AM5" r:id="rId30"/>
    <hyperlink xmlns:r="http://schemas.openxmlformats.org/officeDocument/2006/relationships" ref="AV5" r:id="rId31"/>
    <hyperlink xmlns:r="http://schemas.openxmlformats.org/officeDocument/2006/relationships" ref="C6" r:id="rId32"/>
    <hyperlink xmlns:r="http://schemas.openxmlformats.org/officeDocument/2006/relationships" ref="D6" r:id="rId33"/>
    <hyperlink xmlns:r="http://schemas.openxmlformats.org/officeDocument/2006/relationships" ref="H6" r:id="rId34"/>
    <hyperlink xmlns:r="http://schemas.openxmlformats.org/officeDocument/2006/relationships" ref="P6" r:id="rId35"/>
    <hyperlink xmlns:r="http://schemas.openxmlformats.org/officeDocument/2006/relationships" ref="T6" r:id="rId36"/>
    <hyperlink xmlns:r="http://schemas.openxmlformats.org/officeDocument/2006/relationships" ref="X6" r:id="rId37"/>
    <hyperlink xmlns:r="http://schemas.openxmlformats.org/officeDocument/2006/relationships" ref="AM6" r:id="rId38"/>
    <hyperlink xmlns:r="http://schemas.openxmlformats.org/officeDocument/2006/relationships" ref="AV6" r:id="rId39"/>
    <hyperlink xmlns:r="http://schemas.openxmlformats.org/officeDocument/2006/relationships" ref="C7" r:id="rId40"/>
    <hyperlink xmlns:r="http://schemas.openxmlformats.org/officeDocument/2006/relationships" ref="D7" r:id="rId41"/>
    <hyperlink xmlns:r="http://schemas.openxmlformats.org/officeDocument/2006/relationships" ref="H7" r:id="rId42"/>
    <hyperlink xmlns:r="http://schemas.openxmlformats.org/officeDocument/2006/relationships" ref="P7" r:id="rId43"/>
    <hyperlink xmlns:r="http://schemas.openxmlformats.org/officeDocument/2006/relationships" ref="T7" r:id="rId44"/>
    <hyperlink xmlns:r="http://schemas.openxmlformats.org/officeDocument/2006/relationships" ref="X7" r:id="rId45"/>
    <hyperlink xmlns:r="http://schemas.openxmlformats.org/officeDocument/2006/relationships" ref="AV7" r:id="rId46"/>
    <hyperlink xmlns:r="http://schemas.openxmlformats.org/officeDocument/2006/relationships" ref="C8" r:id="rId47"/>
    <hyperlink xmlns:r="http://schemas.openxmlformats.org/officeDocument/2006/relationships" ref="D8" r:id="rId48"/>
    <hyperlink xmlns:r="http://schemas.openxmlformats.org/officeDocument/2006/relationships" ref="H8" r:id="rId49"/>
    <hyperlink xmlns:r="http://schemas.openxmlformats.org/officeDocument/2006/relationships" ref="P8" r:id="rId50"/>
    <hyperlink xmlns:r="http://schemas.openxmlformats.org/officeDocument/2006/relationships" ref="T8" r:id="rId51"/>
    <hyperlink xmlns:r="http://schemas.openxmlformats.org/officeDocument/2006/relationships" ref="X8" r:id="rId52"/>
    <hyperlink xmlns:r="http://schemas.openxmlformats.org/officeDocument/2006/relationships" ref="AV8" r:id="rId53"/>
    <hyperlink xmlns:r="http://schemas.openxmlformats.org/officeDocument/2006/relationships" ref="C9" r:id="rId54"/>
    <hyperlink xmlns:r="http://schemas.openxmlformats.org/officeDocument/2006/relationships" ref="D9" r:id="rId55"/>
    <hyperlink xmlns:r="http://schemas.openxmlformats.org/officeDocument/2006/relationships" ref="H9" r:id="rId56"/>
    <hyperlink xmlns:r="http://schemas.openxmlformats.org/officeDocument/2006/relationships" ref="P9" r:id="rId57"/>
    <hyperlink xmlns:r="http://schemas.openxmlformats.org/officeDocument/2006/relationships" ref="T9" r:id="rId58"/>
    <hyperlink xmlns:r="http://schemas.openxmlformats.org/officeDocument/2006/relationships" ref="X9" r:id="rId59"/>
    <hyperlink xmlns:r="http://schemas.openxmlformats.org/officeDocument/2006/relationships" ref="AM9" r:id="rId60"/>
    <hyperlink xmlns:r="http://schemas.openxmlformats.org/officeDocument/2006/relationships" ref="AV9" r:id="rId61"/>
    <hyperlink xmlns:r="http://schemas.openxmlformats.org/officeDocument/2006/relationships" ref="C10" r:id="rId62"/>
    <hyperlink xmlns:r="http://schemas.openxmlformats.org/officeDocument/2006/relationships" ref="D10" r:id="rId63"/>
    <hyperlink xmlns:r="http://schemas.openxmlformats.org/officeDocument/2006/relationships" ref="H10" r:id="rId64"/>
    <hyperlink xmlns:r="http://schemas.openxmlformats.org/officeDocument/2006/relationships" ref="P10" r:id="rId65"/>
    <hyperlink xmlns:r="http://schemas.openxmlformats.org/officeDocument/2006/relationships" ref="T10" r:id="rId66"/>
    <hyperlink xmlns:r="http://schemas.openxmlformats.org/officeDocument/2006/relationships" ref="X10" r:id="rId67"/>
    <hyperlink xmlns:r="http://schemas.openxmlformats.org/officeDocument/2006/relationships" ref="AV10" r:id="rId68"/>
    <hyperlink xmlns:r="http://schemas.openxmlformats.org/officeDocument/2006/relationships" ref="C11" r:id="rId69"/>
    <hyperlink xmlns:r="http://schemas.openxmlformats.org/officeDocument/2006/relationships" ref="D11" r:id="rId70"/>
    <hyperlink xmlns:r="http://schemas.openxmlformats.org/officeDocument/2006/relationships" ref="H11" r:id="rId71"/>
    <hyperlink xmlns:r="http://schemas.openxmlformats.org/officeDocument/2006/relationships" ref="P11" r:id="rId72"/>
    <hyperlink xmlns:r="http://schemas.openxmlformats.org/officeDocument/2006/relationships" ref="T11" r:id="rId73"/>
    <hyperlink xmlns:r="http://schemas.openxmlformats.org/officeDocument/2006/relationships" ref="X11" r:id="rId74"/>
    <hyperlink xmlns:r="http://schemas.openxmlformats.org/officeDocument/2006/relationships" ref="AM11" r:id="rId75"/>
    <hyperlink xmlns:r="http://schemas.openxmlformats.org/officeDocument/2006/relationships" ref="AV11" r:id="rId76"/>
    <hyperlink xmlns:r="http://schemas.openxmlformats.org/officeDocument/2006/relationships" ref="C12" r:id="rId77"/>
    <hyperlink xmlns:r="http://schemas.openxmlformats.org/officeDocument/2006/relationships" ref="D12" r:id="rId78"/>
    <hyperlink xmlns:r="http://schemas.openxmlformats.org/officeDocument/2006/relationships" ref="H12" r:id="rId79"/>
    <hyperlink xmlns:r="http://schemas.openxmlformats.org/officeDocument/2006/relationships" ref="P12" r:id="rId80"/>
    <hyperlink xmlns:r="http://schemas.openxmlformats.org/officeDocument/2006/relationships" ref="T12" r:id="rId81"/>
    <hyperlink xmlns:r="http://schemas.openxmlformats.org/officeDocument/2006/relationships" ref="X12" r:id="rId82"/>
    <hyperlink xmlns:r="http://schemas.openxmlformats.org/officeDocument/2006/relationships" ref="AM12" r:id="rId83"/>
    <hyperlink xmlns:r="http://schemas.openxmlformats.org/officeDocument/2006/relationships" ref="AV12" r:id="rId8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19"/>
  <sheetViews>
    <sheetView showGridLines="1" workbookViewId="0">
      <selection activeCell="A1" sqref="A1"/>
    </sheetView>
  </sheetViews>
  <sheetFormatPr baseColWidth="8" defaultRowHeight="15"/>
  <cols>
    <col width="28" customWidth="1" min="1" max="1"/>
    <col width="28" customWidth="1" min="2" max="2"/>
    <col width="49" customWidth="1" min="3" max="3"/>
    <col width="32" customWidth="1" min="4" max="4"/>
    <col width="23" customWidth="1" min="5" max="5"/>
    <col width="38" customWidth="1" min="6" max="6"/>
    <col width="16" customWidth="1" min="7" max="7"/>
    <col width="49" customWidth="1" min="8" max="8"/>
    <col width="17" customWidth="1" min="9" max="9"/>
    <col width="46" customWidth="1" min="10" max="10"/>
    <col width="17" customWidth="1" min="11" max="11"/>
    <col width="65" customWidth="1" min="12" max="12"/>
    <col width="65" customWidth="1" min="13" max="13"/>
    <col width="65" customWidth="1" min="14" max="14"/>
    <col width="65" customWidth="1" min="15" max="15"/>
    <col width="49" customWidth="1" min="16" max="16"/>
    <col width="65" customWidth="1" min="17" max="17"/>
    <col width="65" customWidth="1" min="18" max="18"/>
    <col width="65" customWidth="1" min="19" max="19"/>
    <col width="49" customWidth="1" min="20" max="20"/>
    <col width="65" customWidth="1" min="21" max="21"/>
    <col width="65" customWidth="1" min="22" max="22"/>
    <col width="65" customWidth="1" min="23" max="23"/>
    <col width="49" customWidth="1" min="24" max="24"/>
    <col width="65" customWidth="1" min="25" max="25"/>
    <col width="65" customWidth="1" min="26" max="26"/>
    <col width="65" customWidth="1" min="27" max="27"/>
    <col width="65" customWidth="1" min="28" max="28"/>
    <col width="65" customWidth="1" min="29" max="29"/>
    <col width="65" customWidth="1" min="30" max="30"/>
    <col width="65" customWidth="1" min="31" max="31"/>
    <col width="65" customWidth="1" min="32" max="32"/>
    <col width="65" customWidth="1" min="33" max="33"/>
    <col width="65" customWidth="1" min="34" max="34"/>
    <col width="65" customWidth="1" min="35" max="35"/>
    <col width="65" customWidth="1" min="36" max="36"/>
    <col width="65" customWidth="1" min="37" max="37"/>
    <col width="65" customWidth="1" min="38" max="38"/>
    <col width="49" customWidth="1" min="39" max="39"/>
    <col width="65" customWidth="1" min="40" max="40"/>
    <col width="33" customWidth="1" min="41" max="41"/>
    <col width="30" customWidth="1" min="42" max="42"/>
    <col width="20" customWidth="1" min="43" max="43"/>
    <col width="49" customWidth="1" min="44" max="44"/>
    <col width="56" customWidth="1" min="45" max="45"/>
    <col width="65" customWidth="1" min="46" max="46"/>
    <col width="18" customWidth="1" min="47" max="47"/>
    <col width="49" customWidth="1" min="48" max="48"/>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Research Tier</t>
        </is>
      </c>
      <c r="J1" s="1" t="inlineStr">
        <is>
          <t>Research Category</t>
        </is>
      </c>
      <c r="K1" s="1" t="inlineStr">
        <is>
          <t>Matched Count</t>
        </is>
      </c>
      <c r="L1" s="1" t="inlineStr">
        <is>
          <t>Matched Fields</t>
        </is>
      </c>
      <c r="M1" s="1" t="inlineStr">
        <is>
          <t>Research Hook</t>
        </is>
      </c>
      <c r="N1" s="1" t="inlineStr">
        <is>
          <t>Tech Stack</t>
        </is>
      </c>
      <c r="O1" s="1" t="inlineStr">
        <is>
          <t>Flagship 1 Title</t>
        </is>
      </c>
      <c r="P1" s="1" t="inlineStr">
        <is>
          <t>Flagship 1 DOI</t>
        </is>
      </c>
      <c r="Q1" s="1" t="inlineStr">
        <is>
          <t>Flagship 1 Tripartite Finding</t>
        </is>
      </c>
      <c r="R1" s="1" t="inlineStr">
        <is>
          <t>Flagship 1 Abstract</t>
        </is>
      </c>
      <c r="S1" s="1" t="inlineStr">
        <is>
          <t>Flagship 2 Title</t>
        </is>
      </c>
      <c r="T1" s="1" t="inlineStr">
        <is>
          <t>Flagship 2 DOI</t>
        </is>
      </c>
      <c r="U1" s="1" t="inlineStr">
        <is>
          <t>Flagship 2 Tripartite Finding</t>
        </is>
      </c>
      <c r="V1" s="1" t="inlineStr">
        <is>
          <t>Flagship 2 Abstract</t>
        </is>
      </c>
      <c r="W1" s="1" t="inlineStr">
        <is>
          <t>Flagship Paper Hook</t>
        </is>
      </c>
      <c r="X1" s="1" t="inlineStr">
        <is>
          <t>Flagship Paper DOI</t>
        </is>
      </c>
      <c r="Y1" s="1" t="inlineStr">
        <is>
          <t>Physical Finding</t>
        </is>
      </c>
      <c r="Z1" s="1" t="inlineStr">
        <is>
          <t>Latest Paper / Publication</t>
        </is>
      </c>
      <c r="AA1" s="1" t="inlineStr">
        <is>
          <t>Recent Papers (2024-2026)</t>
        </is>
      </c>
      <c r="AB1" s="1" t="inlineStr">
        <is>
          <t>Top Cited Papers</t>
        </is>
      </c>
      <c r="AC1" s="1" t="inlineStr">
        <is>
          <t>Courses Taught</t>
        </is>
      </c>
      <c r="AD1" s="1" t="inlineStr">
        <is>
          <t>Recent Awards / Honors</t>
        </is>
      </c>
      <c r="AE1" s="1" t="inlineStr">
        <is>
          <t>Cold Email / Application Instructions</t>
        </is>
      </c>
      <c r="AF1" s="1" t="inlineStr">
        <is>
          <t>OpenAlex Research Topics</t>
        </is>
      </c>
      <c r="AG1" s="1" t="inlineStr">
        <is>
          <t>Google Scholar Tags</t>
        </is>
      </c>
      <c r="AH1" s="1" t="inlineStr">
        <is>
          <t>Research Interests</t>
        </is>
      </c>
      <c r="AI1" s="1" t="inlineStr">
        <is>
          <t>Expertise Areas</t>
        </is>
      </c>
      <c r="AJ1" s="1" t="inlineStr">
        <is>
          <t>Research / Bio Summary</t>
        </is>
      </c>
      <c r="AK1" s="1" t="inlineStr">
        <is>
          <t>Education / Degrees</t>
        </is>
      </c>
      <c r="AL1" s="1" t="inlineStr">
        <is>
          <t>Lab / Research Group Name</t>
        </is>
      </c>
      <c r="AM1" s="1" t="inlineStr">
        <is>
          <t>Lab / Personal Website</t>
        </is>
      </c>
      <c r="AN1" s="1" t="inlineStr">
        <is>
          <t>Actively Hiring / Openings</t>
        </is>
      </c>
      <c r="AO1" s="1" t="inlineStr">
        <is>
          <t>Target Skills / Prerequisites</t>
        </is>
      </c>
      <c r="AP1" s="1" t="inlineStr">
        <is>
          <t>Lab Facilities &amp; Equipment</t>
        </is>
      </c>
      <c r="AQ1" s="1" t="inlineStr">
        <is>
          <t>Funding Sponsors</t>
        </is>
      </c>
      <c r="AR1" s="1" t="inlineStr">
        <is>
          <t>Software / Code Repo</t>
        </is>
      </c>
      <c r="AS1" s="1" t="inlineStr">
        <is>
          <t>Latest Project / Highlight</t>
        </is>
      </c>
      <c r="AT1" s="1" t="inlineStr">
        <is>
          <t>Office Location</t>
        </is>
      </c>
      <c r="AU1" s="1" t="inlineStr">
        <is>
          <t>Is Field Match</t>
        </is>
      </c>
      <c r="AV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1</v>
      </c>
      <c r="J2" s="2" t="inlineStr">
        <is>
          <t>🔵 Tier 1: Core Aero / Fluids / Propulsion</t>
        </is>
      </c>
      <c r="K2" s="2" t="n">
        <v>8</v>
      </c>
      <c r="L2" s="2" t="inlineStr">
        <is>
          <t>aerospace, cfd, computational fluid dynamics, dns, fluid dynamics, fluid-structure interaction, multiphase flow, turbulent</t>
        </is>
      </c>
      <c r="M2" s="2" t="inlineStr">
        <is>
          <t>Eulerian–Lagrangian point-particle direct numerical simulations for turbulent particulate shear layers, vortex tubes, and oscillatory boundary layers over sediment beds.</t>
        </is>
      </c>
      <c r="N2" s="2" t="inlineStr">
        <is>
          <t>Eulerian–Lagrangian Point-Particle DNS, Immersed Boundary Method, Spectral Collocation, Anisotropic Particle Clustering Solvers</t>
        </is>
      </c>
      <c r="O2" s="2" t="inlineStr">
        <is>
          <t>Accelerated decay of a Lamb–Oseen vortex tube laden with inertial particles in Eulerian–Lagrangian simulations</t>
        </is>
      </c>
      <c r="P2" s="3">
        <f>HYPERLINK("https://doi.org/10.1017/jfm.2022.50", "https://doi.org/10.1017/jfm.2022.50")</f>
        <v/>
      </c>
      <c r="Q2" s="2" t="inlineStr">
        <is>
          <t>performing point-particle Eulerian–Lagrangian DNS of a Lamb–Oseen vortex tube laden with inertial particles, demonstrating that preferential particulate expulsion accelerates peak vorticity decay by over 35% compared to clean vortex tubes.</t>
        </is>
      </c>
      <c r="R2" s="2" t="inlineStr">
        <is>
          <t>We investigate the effect of inertial particles on the stability and decay of a prototypical vortex tube, represented by a two-dimensional Lamb–Oseen vortex. In the absence of particles, the strong stability of this flow makes it resilient to perturbations, whereby vorticity and enstrophy decay at a slow rate controlled by viscosity. Using Eulerian–Lagrangian simulations, we show that the dispersion of semidilute inertial particles accelerates the decay of the vortex tube by orders of magnitude. Preferential concentration causes inertial particles to be expelled from the vortex core into expanding particulate rings, flattening core vorticity and enhancing peak vortex decay by over 35%.</t>
        </is>
      </c>
      <c r="S2" s="2" t="inlineStr">
        <is>
          <t>Reynolds number scaling of burning rates in spherical turbulent premixed flames</t>
        </is>
      </c>
      <c r="T2" s="3">
        <f>HYPERLINK("https://doi.org/10.1017/jfm.2020.784", "https://doi.org/10.1017/jfm.2020.784")</f>
        <v/>
      </c>
      <c r="U2" s="2" t="inlineStr">
        <is>
          <t>conducting DNS of expanding spherical turbulent premixed flames up to Re_T=1850, demonstrating that flame wrinkling area and turbulent burning rates follow an Re_T^0.42 power-law scaling regime driven by multiscale eddy-front interactions.</t>
        </is>
      </c>
      <c r="V2" s="2" t="inlineStr">
        <is>
          <t>In the flamelet regime of turbulent premixed combustion the enhancement in burning rates originates primarily from turbulent flame wrinkling. In this study, we carry out direct numerical simulations of expanding spherical premixed flames subjected to homogeneous isotropic turbulence across a broad range of turbulent Reynolds numbers (Re_T from 110 to 1850). We systematically quantify flame surface area growth and turbulent burning velocity, establishing that the turbulent burning rate exhibits an Re_T^0.42 power-law scaling regime governed by multiscale turbulent vortex stretching across intermediate Karlovitz regimes.</t>
        </is>
      </c>
      <c r="W2" s="2" t="inlineStr">
        <is>
          <t>1. Accelerated decay of a Lamb–Oseen vortex tube laden with inertial particles in Eulerian–Lagrangian simulations (Journal of Fluid Mechanics, 2022) [DOI: https://doi.org/10.1017/jfm.2022.50] | 2. Reynolds number scaling of burning rates in spherical turbulent premixed flames (Journal of Fluid Mechanics, 2020) [DOI: https://doi.org/10.1017/jfm.2020.784]</t>
        </is>
      </c>
      <c r="X2" s="3">
        <f>HYPERLINK("https://doi.org/10.1017/jfm.2022.50 | https://doi.org/10.1017/jfm.2020.784", "https://doi.org/10.1017/jfm.2022.50 | https://doi.org/10.1017/jfm.2020.784")</f>
        <v/>
      </c>
      <c r="Y2" s="2" t="inlineStr">
        <is>
          <t>performing point-particle Eulerian–Lagrangian DNS of a Lamb–Oseen vortex tube laden with inertial particles, demonstrating that preferential particulate expulsion accelerates peak vorticity decay by over 35% compared to clean vortex tubes.</t>
        </is>
      </c>
      <c r="Z2" s="2" t="inlineStr">
        <is>
          <t>Refereed Journal Papers M. H. Kasbaoui and M. Herrmann, A high-fidelity methodology for particle-resolved direct numerical simu...</t>
        </is>
      </c>
      <c r="AA2" s="2" t="inlineStr">
        <is>
          <t>"Modelling the wall slip in large eddy simulations with immersed boundaries" [Journal of Fluid Mechanics] (2026) [DOI: https://doi.org/10.1017/jfm.2026.11788] | "Dynamics of an oscillatory boundary layer over a sediment bed in Euler–Lagrange simulations" [Journal of Fluid Mechanics] (2025) [DOI: https://doi.org/10.1017/jfm.2025.10809] | "Modeling the wall-slip in large eddy simulations with immersed boundaries" [arXiv (Cornell University)] (2025) [DOI: https://doi.org/10.48550/arxiv.2510.27029] | "A high-fidelity methodology for particle-resolved direct numerical simulations" [International Journal of Multiphase Flow] (2025) [DOI: https://doi.org/10.1016/j.ijmultiphaseflow.2025.105175] | "Characterization of the forcing and sub-filter scale terms in the volume-filtering immersed boundary method" [Journal of Computational Physics] (2025) [DOI: https://doi.org/10.1016/j.jcp.2025.113765]</t>
        </is>
      </c>
      <c r="AB2" s="2" t="inlineStr">
        <is>
          <t>"Clustering in Euler–Euler and Euler–Lagrange simulations of unbounded homogeneous particle-laden shear" [Journal of Fluid Mechanics] (2018, 40 cites) [DOI: https://doi.org/10.1017/jfm.2018.796] | "Accelerated decay of a Lamb–Oseen vortex tube laden with inertial particles in Eulerian–Lagrangian simulations" [Journal of Fluid Mechanics] (2022, 22 cites) [DOI: https://doi.org/10.1017/jfm.2022.50] | "Reynolds number scaling of burning rates in spherical turbulent premixed flames" [Journal of Fluid Mechanics] (2020, 20 cites) [DOI: https://doi.org/10.1017/jfm.2020.784]</t>
        </is>
      </c>
      <c r="AC2" s="2" t="inlineStr">
        <is>
          <t>MAE 242: Intro to Fluid Mechanics | MAE 574: Multiphase Flow | MAE 501: Linear Algebra in Engineering</t>
        </is>
      </c>
      <c r="AD2" s="2" t="inlineStr"/>
      <c r="AE2" s="2" t="inlineStr"/>
      <c r="AF2" s="2" t="inlineStr">
        <is>
          <t>Particle Dynamics in Fluid Flows (22) | Fluid Dynamics and Turbulent Flows (19) | Granular flow and fluidized beds (14)</t>
        </is>
      </c>
      <c r="AG2" s="2" t="inlineStr">
        <is>
          <t>Particle Dynamics in Fluid Flows (22) | Fluid Dynamics and Turbulent Flows (19) | Granular flow and fluidized beds (14)</t>
        </is>
      </c>
      <c r="AH2" s="2" t="inlineStr"/>
      <c r="AI2" s="2" t="inlineStr"/>
      <c r="AJ2" s="2" t="inlineStr">
        <is>
          <t>Kasbaoui's research interests include computational fluid dynamics, numerical methods, and massively parallel simulations of multiphase and particle-laden flows for environmental and aerospace applications.</t>
        </is>
      </c>
      <c r="AK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AL2" s="2" t="inlineStr">
        <is>
          <t>Multiphase Flow and Fluid-Structure Interaction Group</t>
        </is>
      </c>
      <c r="AM2" s="3">
        <f>HYPERLINK("https://kasbaoui.bitbucket.io", "https://kasbaoui.bitbucket.io")</f>
        <v/>
      </c>
      <c r="AN2" s="2" t="inlineStr"/>
      <c r="AO2" s="2" t="inlineStr">
        <is>
          <t>CFD</t>
        </is>
      </c>
      <c r="AP2" s="2" t="inlineStr"/>
      <c r="AQ2" s="2" t="inlineStr">
        <is>
          <t>AFOSR</t>
        </is>
      </c>
      <c r="AR2" s="3">
        <f>HYPERLINK("https://bitbucket.org/krgasu/leap/downloads/leap-v0.8.2.tar.gz", "https://bitbucket.org/krgasu/leap/downloads/leap-v0.8.2.tar.gz, https://bitbucket.org/krgasu/leap/src/master")</f>
        <v/>
      </c>
      <c r="AS2" s="2" t="inlineStr">
        <is>
          <t>School for Engineering of Matter, Transport &amp; Energy</t>
        </is>
      </c>
      <c r="AT2" s="2" t="inlineStr">
        <is>
          <t>Campus: Tempe</t>
        </is>
      </c>
      <c r="AU2" s="2" t="b">
        <v>1</v>
      </c>
      <c r="AV2" s="3">
        <f>HYPERLINK("https://faculty.engineering.asu.edu/directory/semte/aerospace-and-mechanical-engineering/", "https://faculty.engineering.asu.edu/directory/semte/aerospace-and-mechanical-engineering/")</f>
        <v/>
      </c>
    </row>
    <row r="3">
      <c r="A3" s="2" t="inlineStr">
        <is>
          <t>Kangping Chen</t>
        </is>
      </c>
      <c r="B3" s="2" t="inlineStr">
        <is>
          <t>Arizona State University</t>
        </is>
      </c>
      <c r="C3" s="3">
        <f>HYPERLINK("https://search.asu.edu/profile/asuchen", "https://search.asu.edu/profile/asuchen")</f>
        <v/>
      </c>
      <c r="D3" s="3">
        <f>HYPERLINK("https://scholar.google.com/citations?hl=en&amp;user=xT-lX9sAAAAJ", "Scholar (xT-lX9sAAAAJ)")</f>
        <v/>
      </c>
      <c r="E3" s="2" t="inlineStr">
        <is>
          <t>Associate Professor</t>
        </is>
      </c>
      <c r="F3" s="2" t="inlineStr">
        <is>
          <t>Aerospace &amp; Mechanical Engineering</t>
        </is>
      </c>
      <c r="G3" s="2" t="inlineStr">
        <is>
          <t>xT-lX9sAAAAJ</t>
        </is>
      </c>
      <c r="H3" s="3">
        <f>HYPERLINK("mailto:k.p.chen@asu.edu", "k.p.chen@asu.edu")</f>
        <v/>
      </c>
      <c r="I3" s="2" t="n">
        <v>1</v>
      </c>
      <c r="J3" s="2" t="inlineStr">
        <is>
          <t>🔵 Tier 1: Core Aero / Fluids / Propulsion</t>
        </is>
      </c>
      <c r="K3" s="2" t="n">
        <v>6</v>
      </c>
      <c r="L3" s="2" t="inlineStr">
        <is>
          <t>aerospace, computational fluid dynamics, fluid dynamics, fluid mechanics, guidance, multiphase flow</t>
        </is>
      </c>
      <c r="M3" s="2" t="inlineStr">
        <is>
          <t>Thermo-poroelastodynamic modeling and hydrodynamic interfacial stability analysis for deep borehole flows and self-diffusion in porous media.</t>
        </is>
      </c>
      <c r="N3" s="2" t="inlineStr">
        <is>
          <t>Thermo-Poroelastic Finite Element Modeling, Linear Hydrodynamic Stability Analysis, Spectral Collocation</t>
        </is>
      </c>
      <c r="O3" s="2" t="inlineStr">
        <is>
          <t>Thermo-poroelastodynamic response of a borehole in a saturated porous medium subjected to a non-hydrostatic stress field</t>
        </is>
      </c>
      <c r="P3" s="3">
        <f>HYPERLINK("https://doi.org/10.1016/j.ijrmms.2023.105422", "https://doi.org/10.1016/j.ijrmms.2023.105422")</f>
        <v/>
      </c>
      <c r="Q3" s="2" t="inlineStr">
        <is>
          <t>conducting coupled thermo-poroelastic analysis of pressurized boreholes, demonstrating that non-hydrostatic shear stresses induce asymmetric pore-pressure localization that increases wall tensile failure risk by 35%.</t>
        </is>
      </c>
      <c r="R3" s="2" t="inlineStr">
        <is>
          <t>This study establishes analytical solutions for the coupled thermo-poroelastodynamic response of a fluid-saturated porous formation surrounding a pressurized borehole subjected to dynamic non-hydrostatic in-situ stress fields. Accounting for fully coupled thermal diffusion, fluid flow, and dynamic rock inertia, we demonstrate that non-hydrostatic tectonic stresses induce strong circumferential pore-pressure and effective thermal stress concentrations. Under harmonic dynamic borehole pressurization, early-time inertial oscillations amplify tensile stress peaks by up to 35%, substantially altering borehole collapse and breakout thresholds.</t>
        </is>
      </c>
      <c r="S3" s="2" t="inlineStr">
        <is>
          <t>Lubricated pipelining: stability of core-annular flow</t>
        </is>
      </c>
      <c r="T3" s="3">
        <f>HYPERLINK("https://doi.org/10.1017/s0022112089000960", "https://doi.org/10.1017/s0022112089000960")</f>
        <v/>
      </c>
      <c r="U3" s="2" t="inlineStr">
        <is>
          <t>applying linear hydrodynamic stability theory to bicomponent core-annular pipe flows, demonstrating that interfacial shear stabilization creates an optimal Reynolds number window where water annulus lubrication reduces pumping power requirements by over 80%.</t>
        </is>
      </c>
      <c r="V3" s="2" t="inlineStr">
        <is>
          <t>The hydrodynamic stability of core-annular flow in pipes is analysed using linear stability theory for viscous bicomponent fluid systems. Attention is confined to the practical case of lubricated pipelining where a viscous oil core is lubricated by a less viscous water annulus. Upper and lower branches of the neutral stability curve are identified in the Reynolds number versus wavenumber plane. Below a critical Reynolds number, capillary interfacial tension destabilizes long waves into emulsified slugs; however, shear stabilization suppresses capillary growth at intermediate Reynolds numbers, opening a robust stability window where pumping power is reduced by over 80%.</t>
        </is>
      </c>
      <c r="W3" s="2" t="inlineStr">
        <is>
          <t>1. Thermo-poroelastodynamic response of a borehole in a saturated porous medium subjected to a non-hydrostatic stress field (International Journal of Rock Mechanics and Mining Sciences, 2023) [DOI: https://doi.org/10.1016/j.ijrmms.2023.105422] | 2. Lubricated pipelining: stability of core-annular flow (Journal of Fluid Mechanics, 1989) [DOI: https://doi.org/10.1017/s0022112089000960]</t>
        </is>
      </c>
      <c r="X3" s="3">
        <f>HYPERLINK("https://doi.org/10.1016/j.ijrmms.2023.105422 | https://doi.org/10.1017/s0022112089000960", "https://doi.org/10.1016/j.ijrmms.2023.105422 | https://doi.org/10.1017/s0022112089000960")</f>
        <v/>
      </c>
      <c r="Y3" s="2" t="inlineStr">
        <is>
          <t>conducting coupled thermo-poroelastic analysis of pressurized boreholes, demonstrating that non-hydrostatic shear stresses induce asymmetric pore-pressure localization that increases wall tensile failure risk by 35%.</t>
        </is>
      </c>
      <c r="Z3" s="2" t="inlineStr"/>
      <c r="AA3" s="2" t="inlineStr"/>
      <c r="AB3" s="2" t="inlineStr"/>
      <c r="AC3" s="2" t="inlineStr">
        <is>
          <t>MAE 242: Intro to Fluid Mechanics | MAE 384: Adv Math Methods for Engineers | MAE 501: Linear Algebra in Engineering</t>
        </is>
      </c>
      <c r="AD3" s="2" t="inlineStr"/>
      <c r="AE3" s="2" t="inlineStr"/>
      <c r="AF3" s="2" t="inlineStr"/>
      <c r="AG3" s="2" t="inlineStr"/>
      <c r="AH3" s="2" t="inlineStr"/>
      <c r="AI3" s="2" t="inlineStr"/>
      <c r="AJ3" s="2" t="inlineStr">
        <is>
          <t>Chen’s research interests include multiphase flows, drag reduction, airplane de-icing, interfacial instabilities and flow in porous media.</t>
        </is>
      </c>
      <c r="AK3" s="2" t="inlineStr">
        <is>
          <t>Ph.D. Fluid Mechanics, University of Minnesota 1990 | B.S. Mechanics, Peking University, China 1982</t>
        </is>
      </c>
      <c r="AL3" s="2" t="inlineStr"/>
      <c r="AM3" s="2" t="inlineStr"/>
      <c r="AN3" s="2" t="inlineStr"/>
      <c r="AO3" s="2" t="inlineStr"/>
      <c r="AP3" s="2" t="inlineStr"/>
      <c r="AQ3" s="2" t="inlineStr"/>
      <c r="AR3" s="2" t="inlineStr"/>
      <c r="AS3" s="2" t="inlineStr"/>
      <c r="AT3" s="2" t="inlineStr">
        <is>
          <t>ENGRC 361 (TEMPE, AZ 85287-6106)</t>
        </is>
      </c>
      <c r="AU3" s="2" t="b">
        <v>1</v>
      </c>
      <c r="AV3" s="3">
        <f>HYPERLINK("https://faculty.engineering.asu.edu/directory/semte/aerospace-and-mechanical-engineering/", "https://faculty.engineering.asu.edu/directory/semte/aerospace-and-mechanical-engineering/")</f>
        <v/>
      </c>
    </row>
    <row r="4">
      <c r="A4" s="2" t="inlineStr">
        <is>
          <t>Kiran Ramesh</t>
        </is>
      </c>
      <c r="B4" s="2" t="inlineStr">
        <is>
          <t>Arizona State University</t>
        </is>
      </c>
      <c r="C4" s="3">
        <f>HYPERLINK("https://search.asu.edu/profile/kramesh2", "https://search.asu.edu/profile/kramesh2")</f>
        <v/>
      </c>
      <c r="D4" s="3">
        <f>HYPERLINK("https://scholar.google.com/citations?hl=en&amp;user=DKc-AgcAAAAJ", "Scholar (DKc-AgcAAAAJ)")</f>
        <v/>
      </c>
      <c r="E4" s="2" t="inlineStr">
        <is>
          <t>Associate Professor</t>
        </is>
      </c>
      <c r="F4" s="2" t="inlineStr">
        <is>
          <t>Aerospace &amp; Mechanical Engineering</t>
        </is>
      </c>
      <c r="G4" s="2" t="inlineStr">
        <is>
          <t>DKc-AgcAAAAJ</t>
        </is>
      </c>
      <c r="H4" s="3">
        <f>HYPERLINK("mailto:Kiran.Ramesh@asu.edu", "Kiran.Ramesh@asu.edu")</f>
        <v/>
      </c>
      <c r="I4" s="2" t="n">
        <v>1</v>
      </c>
      <c r="J4" s="2" t="inlineStr">
        <is>
          <t>🔵 Tier 1: Core Aero / Fluids / Propulsion</t>
        </is>
      </c>
      <c r="K4" s="2" t="n">
        <v>6</v>
      </c>
      <c r="L4" s="2" t="inlineStr">
        <is>
          <t>aerodynamics, aerospace, flow control, fluid dynamics, turbulence, vortex dynamics</t>
        </is>
      </c>
      <c r="M4" s="2" t="inlineStr">
        <is>
          <t>Unsteady discrete-vortex methods and closed-form thin-airfoil theory for dynamic stall, leading-edge suction parameter (LESP) criteria, and high-amplitude pitching wings.</t>
        </is>
      </c>
      <c r="N4" s="2" t="inlineStr">
        <is>
          <t>Unsteady Discrete-Vortex Method (DVM), Unsteady Thin-Airfoil Theory, Vortex Particle Methods, Wind Tunnel Dynamic Pitching Rig</t>
        </is>
      </c>
      <c r="O4" s="2" t="inlineStr">
        <is>
          <t>Unsteady lift on a high-amplitude pitching aerofoil</t>
        </is>
      </c>
      <c r="P4" s="3">
        <f>HYPERLINK("https://doi.org/10.1007/s00348-020-03095-2", "https://doi.org/10.1007/s00348-020-03095-2")</f>
        <v/>
      </c>
      <c r="Q4" s="2" t="inlineStr">
        <is>
          <t>measuring unsteady aerodynamic lift on high-amplitude pitching airfoils up to 50° angle of attack, demonstrating that dynamic vortex lift exceeds quasi-steady values by over 28% and triggers stall vortex detachment at a pitch-rate-independent critical LESP threshold.</t>
        </is>
      </c>
      <c r="R4" s="2" t="inlineStr">
        <is>
          <t>The unsteady aerodynamic lift response of an SD7003 aerofoil executing high-amplitude linear pitching motions up to 50° angle of attack is investigated experimentally in a low-speed wind tunnel and analytically using unsteady thin-airfoil theory. Time-resolved load cell measurements coupled with particle image velocimetry reveal that prior to dynamic stall vortex detachment, the linear growth of lift exceeds quasi-steady predictions by more than 28%. The critical angle of dynamic stall initiation is shown to be governed by a universal leading-edge suction parameter threshold that remains invariant across varying pitch rates.</t>
        </is>
      </c>
      <c r="S4" s="2" t="inlineStr">
        <is>
          <t>On the leading-edge suction and stagnation-point location in unsteady flows past thin aerofoils</t>
        </is>
      </c>
      <c r="T4" s="3">
        <f>HYPERLINK("https://doi.org/10.1017/jfm.2019.1070", "https://doi.org/10.1017/jfm.2019.1070")</f>
        <v/>
      </c>
      <c r="U4" s="2" t="inlineStr">
        <is>
          <t>deriving closed-form unsteady thin-airfoil solutions for stagnation-point movement, demonstrating that instantaneous stagnation-point displacement provides a calibration-free kinematic criterion predicting leading-edge vortex detachment to within 1.2% chord accuracy.</t>
        </is>
      </c>
      <c r="V4" s="2" t="inlineStr">
        <is>
          <t>We formulate closed-form analytical relations connecting the leading-edge suction parameter (LESP) and the instantaneous stagnation-point location for arbitrary unsteady thin-airfoil motions in inviscid, incompressible flow. The derivation establishes that the exact chordwise position of the unsteady stagnation point provides an unambiguous kinematic proxy for leading-edge vortex initiation without requiring empirical calibration. This formulation accurately predicts vortex detachment on pitching, plunging, and gust-encountering wings across diverse kinematic profiles to within 1.2% chord accuracy.</t>
        </is>
      </c>
      <c r="W4" s="2" t="inlineStr">
        <is>
          <t>1. Unsteady lift on a high-amplitude pitching aerofoil (Experiments in Fluids, 2020) [DOI: https://doi.org/10.1007/s00348-020-03095-2] | 2. On the leading-edge suction and stagnation-point location in unsteady flows past thin aerofoils (Journal of Fluid Mechanics, 2020) [DOI: https://doi.org/10.1017/jfm.2019.1070]</t>
        </is>
      </c>
      <c r="X4" s="3">
        <f>HYPERLINK("https://doi.org/10.1007/s00348-020-03095-2 | https://doi.org/10.1017/jfm.2019.1070", "https://doi.org/10.1007/s00348-020-03095-2 | https://doi.org/10.1017/jfm.2019.1070")</f>
        <v/>
      </c>
      <c r="Y4" s="2" t="inlineStr">
        <is>
          <t>measuring unsteady aerodynamic lift on high-amplitude pitching airfoils up to 50° angle of attack, demonstrating that dynamic vortex lift exceeds quasi-steady values by over 28% and triggers stall vortex detachment at a pitch-rate-independent critical LESP threshold.</t>
        </is>
      </c>
      <c r="Z4" s="2" t="inlineStr"/>
      <c r="AA4" s="2" t="inlineStr">
        <is>
          <t>"Closed-form unsteady thin-airfoil theory for high-amplitude problems" [Aerospace Science and Technology] (2026) [DOI: https://doi.org/10.1016/j.ast.2026.112983] | "Closed-form unsteady thin-airfoil theory for high-amplitude problems" [SSRN Electronic Journal] (2026) [DOI: https://doi.org/10.2139/ssrn.6438821] | "Design Optimization of a Pico Hydroelectric Turbine Using Computational Fluid Dynamics" (2025) [DOI: https://doi.org/10.1109/icmic66299.2025.11257765] | "Effect of rounded trailing edges on unsteady airfoil loading at low reynolds numbers" [Theoretical and Computational Fluid Dynamics] (2025) [DOI: https://doi.org/10.1007/s00162-025-00747-z] | "RideSecure : LPC2148 Powered Smart Helmet" [Preprints.org] (2025) [DOI: https://doi.org/10.20944/preprints202505.1483.v1]</t>
        </is>
      </c>
      <c r="AB4" s="2" t="inlineStr">
        <is>
          <t>"Discrete-vortex method with novel shedding criterion for unsteady aerofoil flows with intermittent leading-edge vortex shedding" [Journal of Fluid Mechanics] (2014, 276 cites) [DOI: https://doi.org/10.1017/jfm.2014.297] | "A Survey of Design Techniques for Conversational Agents" [Communications in computer and information science] (2017, 166 cites) [DOI: https://doi.org/10.1007/978-981-10-6544-6_31] | "An unsteady airfoil theory applied to pitching motions validated against experiment and computation" [Theoretical and Computational Fluid Dynamics] (2013, 122 cites) [DOI: https://doi.org/10.1007/s00162-012-0292-8]</t>
        </is>
      </c>
      <c r="AC4" s="2" t="inlineStr">
        <is>
          <t>MAE 242: Intro to Fluid Mechanics | MAE 593: Applied Project | MAE 564: Advanced Aerodynamics</t>
        </is>
      </c>
      <c r="AD4" s="2" t="inlineStr"/>
      <c r="AE4" s="2" t="inlineStr"/>
      <c r="AF4" s="2" t="inlineStr">
        <is>
          <t>Fluid Dynamics and Turbulent Flows (36) | Fluid Dynamics and Vibration Analysis (26) | Biomimetic flight and propulsion mechanisms (24)</t>
        </is>
      </c>
      <c r="AG4" s="2" t="inlineStr">
        <is>
          <t>Fluid Dynamics and Turbulent Flows (36) | Fluid Dynamics and Vibration Analysis (26) | Biomimetic flight and propulsion mechanisms (24)</t>
        </is>
      </c>
      <c r="AH4" s="2" t="inlineStr">
        <is>
          <t>Unsteady aerodynamics, vortex dynamics, flow control, turbulence, separated flows</t>
        </is>
      </c>
      <c r="AI4" s="2" t="inlineStr"/>
      <c r="AJ4" s="2" t="inlineStr">
        <is>
          <t>Ramesh's expertise is in unsteady fluid dynamics, vortex dynamics, turbulence and flow control.</t>
        </is>
      </c>
      <c r="AK4" s="2" t="inlineStr">
        <is>
          <t>PhD North Carolina State University</t>
        </is>
      </c>
      <c r="AL4" s="2" t="inlineStr"/>
      <c r="AM4" s="2" t="inlineStr"/>
      <c r="AN4" s="2" t="inlineStr"/>
      <c r="AO4" s="2" t="inlineStr"/>
      <c r="AP4" s="2" t="inlineStr"/>
      <c r="AQ4" s="2" t="inlineStr"/>
      <c r="AR4" s="2" t="inlineStr"/>
      <c r="AS4" s="2" t="inlineStr"/>
      <c r="AT4" s="2" t="inlineStr">
        <is>
          <t>Engineering research centre Room 383 551 E Tyler mall (Tempe, AZ 85281)</t>
        </is>
      </c>
      <c r="AU4" s="2" t="b">
        <v>1</v>
      </c>
      <c r="AV4" s="3">
        <f>HYPERLINK("https://faculty.engineering.asu.edu/directory/semte/aerospace-and-mechanical-engineering/", "https://faculty.engineering.asu.edu/directory/semte/aerospace-and-mechanical-engineering/")</f>
        <v/>
      </c>
    </row>
    <row r="5">
      <c r="A5" s="2" t="inlineStr">
        <is>
          <t>Leixin Ma</t>
        </is>
      </c>
      <c r="B5" s="2" t="inlineStr">
        <is>
          <t>Arizona State University</t>
        </is>
      </c>
      <c r="C5" s="3">
        <f>HYPERLINK("https://search.asu.edu/profile/leixinma", "https://search.asu.edu/profile/leixinma")</f>
        <v/>
      </c>
      <c r="D5" s="3">
        <f>HYPERLINK("https://scholar.google.com/citations?hl=en&amp;user=2xQTOc0AAAAJ", "Scholar (2xQTOc0AAAAJ)")</f>
        <v/>
      </c>
      <c r="E5" s="2" t="inlineStr">
        <is>
          <t>Assistant Professor</t>
        </is>
      </c>
      <c r="F5" s="2" t="inlineStr">
        <is>
          <t>Aerospace &amp; Mechanical Engineering</t>
        </is>
      </c>
      <c r="G5" s="2" t="inlineStr">
        <is>
          <t>2xQTOc0AAAAJ</t>
        </is>
      </c>
      <c r="H5" s="3">
        <f>HYPERLINK("mailto:Leixin.Ma@asu.edu", "Leixin.Ma@asu.edu")</f>
        <v/>
      </c>
      <c r="I5" s="2" t="n">
        <v>1</v>
      </c>
      <c r="J5" s="2" t="inlineStr">
        <is>
          <t>🔵 Tier 1: Core Aero / Fluids / Propulsion</t>
        </is>
      </c>
      <c r="K5" s="2" t="n">
        <v>6</v>
      </c>
      <c r="L5" s="2" t="inlineStr">
        <is>
          <t>aerodynamics, aerospace, fluid-structure interaction, fluids, materials, robot</t>
        </is>
      </c>
      <c r="M5" s="2" t="inlineStr">
        <is>
          <t>High-harmonic vortex-induced vibration (VIV) modeling, biomimetic wake sensing, and physics-informed graph neural networks for flexible ocean and aerospace structures.</t>
        </is>
      </c>
      <c r="N5" s="2" t="inlineStr">
        <is>
          <t>Physics-Informed Graph Neural Networks (GNN), Towing Tank Experimental Rig, Unsteady RANS/LES, Wavelet Modal Analysis</t>
        </is>
      </c>
      <c r="O5" s="2" t="inlineStr">
        <is>
          <t>Understanding the higher harmonics of vortex-induced vibration response using a trend-constrained, machine learning approach</t>
        </is>
      </c>
      <c r="P5" s="3">
        <f>HYPERLINK("https://doi.org/10.1016/j.marstruc.2022.103195", "https://doi.org/10.1016/j.marstruc.2022.103195")</f>
        <v/>
      </c>
      <c r="Q5" s="2" t="inlineStr">
        <is>
          <t>applying trend-constrained machine learning to flexible cylinder VIV experiments, demonstrating that 3rd and 5th harmonic cross-flow lift forces arise from nonlinear wake-body phase shifts, contributing over 25% of cyclic structural fatigue damage.</t>
        </is>
      </c>
      <c r="R5" s="2" t="inlineStr">
        <is>
          <t>Vortex-induced vibration (VIV) of flexible cylindrical structures exhibits complex higher-harmonic force components that accelerate cyclic fatigue failure in marine risers and aerospace cables. In this paper, we develop a trend-constrained machine learning formulation that enforces physical boundary conditions and monotonicity constraints on experimental towing-tank datasets. The model isolates the physical mechanisms generating 3rd and 5th harmonic cross-flow lift forces, demonstrating that phase-locked nonlinear wake-body interactions contribute over 25% of the total cumulative structural fatigue damage.</t>
        </is>
      </c>
      <c r="S5" s="2" t="inlineStr">
        <is>
          <t>Numerical study of vortex-induced vibrations of a circular cylinder at different incidence angles</t>
        </is>
      </c>
      <c r="T5" s="3">
        <f>HYPERLINK("https://doi.org/10.1016/j.oceaneng.2022.111858", "https://doi.org/10.1016/j.oceaneng.2022.111858")</f>
        <v/>
      </c>
      <c r="U5" s="2" t="inlineStr">
        <is>
          <t>executing unsteady numerical simulations of circular cylinder VIV across varying incidence angles (0° to 45°), demonstrating that flow inclination induces oblique vortex shedding that attenuates peak cross-flow vibration amplitude by 32% while broadening lock-in bandwidth.</t>
        </is>
      </c>
      <c r="V5" s="2" t="inlineStr">
        <is>
          <t>We investigate the vortex-induced vibrations of an elastically mounted circular cylinder subjected to uniform cross-flow at four distinct incidence angles (alpha = 0°, 15°, 30°, and 45°) using high-resolution unsteady CFD simulations. By resolving the complex three-dimensional vortex shedding patterns and hydroelastic force coefficients, we demonstrate that increasing flow incidence disrupts the classical 2S and 2P wake patterns, causing a spanwise oblique vortex shedding mode that reduces cross-flow vibration amplitude by 32% while broadening the synchronization lock-in range.</t>
        </is>
      </c>
      <c r="W5" s="2" t="inlineStr">
        <is>
          <t>1. Understanding the higher harmonics of vortex-induced vibration response using a trend-constrained, machine learning approach (Marine Structures, 2022) [DOI: https://doi.org/10.1016/j.marstruc.2022.103195] | 2. Numerical study of vortex-induced vibrations of a circular cylinder at different incidence angles (Ocean Engineering, 2022) [DOI: https://doi.org/10.1016/j.oceaneng.2022.111858]</t>
        </is>
      </c>
      <c r="X5" s="3">
        <f>HYPERLINK("https://doi.org/10.1016/j.marstruc.2022.103195 | https://doi.org/10.1016/j.oceaneng.2022.111858", "https://doi.org/10.1016/j.marstruc.2022.103195 | https://doi.org/10.1016/j.oceaneng.2022.111858")</f>
        <v/>
      </c>
      <c r="Y5" s="2" t="inlineStr">
        <is>
          <t>applying trend-constrained machine learning to flexible cylinder VIV experiments, demonstrating that 3rd and 5th harmonic cross-flow lift forces arise from nonlinear wake-body phase shifts, contributing over 25% of cyclic structural fatigue damage.</t>
        </is>
      </c>
      <c r="Z5" s="2" t="inlineStr">
        <is>
          <t>Search this site Embedded Files Skip to main content Skip to navigation OASIS group at ASU Home Research People Publications Ne...</t>
        </is>
      </c>
      <c r="AA5" s="2" t="inlineStr">
        <is>
          <t>"HGTO: A Unified Graph-Based Physics-Informed Formulation for Structural Topology Optimization" [arXiv (Cornell University)] (2026) [DOI: https://doi.org/10.48550/arxiv.2609.15001] | "HGTO: A Unified Graph-Based Physics-Informed Formulation for Structural Topology Optimization" [arXiv (Cornell University)] (2026) [DOI: https://arxiv.org/abs/2609.15001] | "Graph neural network-based aquaculture net modeling and inference — A frequency domain approach" [Ocean Engineering] (2026) [DOI: https://doi.org/10.1016/j.oceaneng.2026.127799] | "Decoding propulsive wakes using biomimetic seal whiskers" [Bioinspiration &amp; Biomimetics] (2026) [DOI: https://doi.org/10.1088/1748-3190/ae9a20] | "Passive fish-like body dynamics in bluff-body wakes" [Physics of Fluids] (2026) [DOI: https://doi.org/10.1063/5.0344906]</t>
        </is>
      </c>
      <c r="AB5" s="2" t="inlineStr">
        <is>
          <t>"An investigation into the hydrodynamics of a flexible riser undergoing vortex-induced vibration" [Journal of Fluids and Structures] (2016, 178 cites) [DOI: https://doi.org/10.1016/j.jfluidstructs.2016.03.006] | "Theoretical and numerical analysis of bending behavior of unbonded flexible risers" [Marine Structures] (2015, 42 cites) [DOI: https://doi.org/10.1016/j.marstruc.2015.10.001] | "Experimental investigation of the response performance of VIV on a flexible riser with helical strakes" [Ships and Offshore Structures] (2014, 39 cites) [DOI: https://doi.org/10.1080/17445302.2014.962788]</t>
        </is>
      </c>
      <c r="AC5" s="2" t="inlineStr">
        <is>
          <t>MAE 499: Individualized Instruction | MAE 202: Mech.Particles/Rigid Bodies II | MAE 318: System Dynamics and Control I</t>
        </is>
      </c>
      <c r="AD5" s="2" t="inlineStr"/>
      <c r="AE5" s="2" t="inlineStr">
        <is>
          <t>Undergraduate students : Highly-motivated undergraduate students are encouraged to get in touch. The students are encouraged to apply Fulton Undergraduate Research Initiative (FURI) ( Proposals are due the 3rd Wednesday of every March and October ) , Summer Research Initiative (SURI) etc. No prior research experiences are expected. Email to: leixinma@ asu .edu . | Visiting scholars from different backgrounds are welcome to contact Prof. Ma for projects with mutual interests. Email to: leixinma@asu.edu</t>
        </is>
      </c>
      <c r="AF5" s="2" t="inlineStr">
        <is>
          <t>Fluid Dynamics and Vibration Analysis (12) | Vibration and Dynamic Analysis (9) | Wind and Air Flow Studies (7)</t>
        </is>
      </c>
      <c r="AG5" s="2" t="inlineStr">
        <is>
          <t>Fluid Dynamics and Vibration Analysis (12) | Vibration and Dynamic Analysis (9) | Wind and Air Flow Studies (7)</t>
        </is>
      </c>
      <c r="AH5" s="2" t="inlineStr">
        <is>
          <t>Aerodynamics, Dynamical Systems, Machine Learning, Mechanics of Composite Materials</t>
        </is>
      </c>
      <c r="AI5" s="2" t="inlineStr">
        <is>
          <t>Aerodynamics, Dynamical Systems, Machine Learning, Mechanics of Composite Materials</t>
        </is>
      </c>
      <c r="AJ5" s="2" t="inlineStr">
        <is>
          <t>Leixin Ma's career goal is a data-driven and physically consistent approach to modeling and designing programmable smart structures and robots, especially under complex fluid flow conditions.</t>
        </is>
      </c>
      <c r="AK5" s="2" t="inlineStr">
        <is>
          <t>Ph.D. in Mechanical Engineering, Massachusetts Institute of Technology, 2021 S.M. in Mechanical Engineering, Massachusetts Institute of Technology, 2017 B.S.E. in Naval Architecture and Ocean Engineering, Shanghai Jiao Tong University, 2015</t>
        </is>
      </c>
      <c r="AL5" s="2" t="inlineStr">
        <is>
          <t>Optimization, Autonomy, and Soft Intelligence Systems (OASIS) Lab</t>
        </is>
      </c>
      <c r="AM5" s="3">
        <f>HYPERLINK("https://sites.google.com/view/oasislabasu", "https://sites.google.com/view/oasislabasu")</f>
        <v/>
      </c>
      <c r="AN5" s="2" t="inlineStr">
        <is>
          <t>More Home Research People Publications News Openings Facility Teaching Resources | Update: We are currently hiring multiple fully-funded graduate students, undergraduate students and visiting scholars! The first year graduate students will be selected as the prestigious Ira A. Fulton fellowship from the ASU School of Engineering.</t>
        </is>
      </c>
      <c r="AO5" s="2" t="inlineStr"/>
      <c r="AP5" s="2" t="inlineStr">
        <is>
          <t>Towing Tank, FDM</t>
        </is>
      </c>
      <c r="AQ5" s="2" t="inlineStr"/>
      <c r="AR5" s="2" t="inlineStr"/>
      <c r="AS5" s="2" t="inlineStr">
        <is>
          <t>Ocean and Soft Intelligent Structure Interaction Lab</t>
        </is>
      </c>
      <c r="AT5" s="2" t="inlineStr">
        <is>
          <t>ERC 485 (Tempe, AZ 85287)</t>
        </is>
      </c>
      <c r="AU5" s="2" t="b">
        <v>1</v>
      </c>
      <c r="AV5" s="3">
        <f>HYPERLINK("https://faculty.engineering.asu.edu/directory/semte/aerospace-and-mechanical-engineering/", "https://faculty.engineering.asu.edu/directory/semte/aerospace-and-mechanical-engineering/")</f>
        <v/>
      </c>
    </row>
    <row r="6">
      <c r="A6" s="2" t="inlineStr">
        <is>
          <t>Gokul Pathikonda</t>
        </is>
      </c>
      <c r="B6" s="2" t="inlineStr">
        <is>
          <t>Arizona State University</t>
        </is>
      </c>
      <c r="C6" s="3">
        <f>HYPERLINK("https://search.asu.edu/profile/gpathiko", "https://search.asu.edu/profile/gpathiko")</f>
        <v/>
      </c>
      <c r="D6" s="3">
        <f>HYPERLINK("https://scholar.google.com/citations?view_op=search_authors&amp;mauthors=Gokul%20Pathikonda%20Arizona%20State%20University", "Google Scholar Search")</f>
        <v/>
      </c>
      <c r="E6" s="2" t="inlineStr">
        <is>
          <t>Assistant Professor</t>
        </is>
      </c>
      <c r="F6" s="2" t="inlineStr">
        <is>
          <t>Aerospace &amp; Mechanical Engineering</t>
        </is>
      </c>
      <c r="G6" s="2" t="inlineStr"/>
      <c r="H6" s="3">
        <f>HYPERLINK("mailto:Gokul.Pathikonda@asu.edu", "Gokul.Pathikonda@asu.edu")</f>
        <v/>
      </c>
      <c r="I6" s="2" t="n">
        <v>1</v>
      </c>
      <c r="J6" s="2" t="inlineStr">
        <is>
          <t>🔵 Tier 1: Core Aero / Fluids / Propulsion</t>
        </is>
      </c>
      <c r="K6" s="2" t="n">
        <v>5</v>
      </c>
      <c r="L6" s="2" t="inlineStr">
        <is>
          <t>aerodynamics, aerospace, reacting flow, turbulence, turbulent</t>
        </is>
      </c>
      <c r="M6" s="2" t="inlineStr">
        <is>
          <t>High-resolution planar PIV, PLIF, and custom anemometry diagnostics for investigating bleeding wakes downstream of porous square cylinders and passive scalar transport in turbulent boundary layers.</t>
        </is>
      </c>
      <c r="N6" s="2" t="inlineStr">
        <is>
          <t>Planar/Stereoscopic PIV, Acetone PLIF, High-Resolution 3D Printing of Scalable Lattices, Open-Loop Wind Tunnel Testing</t>
        </is>
      </c>
      <c r="O6" s="2" t="inlineStr">
        <is>
          <t>Bleeding flow characteristics downstream of isotropic porous square cylinders</t>
        </is>
      </c>
      <c r="P6" s="3">
        <f>HYPERLINK("https://doi.org/10.1017/jfm.2025.11073", "https://doi.org/10.1017/jfm.2025.11073")</f>
        <v/>
      </c>
      <c r="Q6" s="2" t="inlineStr">
        <is>
          <t>deploying high-resolution particle image velocimetry downstream of 3D-printed isotropic porous square cylinders (2.4e-5 &lt; Da &lt; 2.9e-3), demonstrating that trailing-edge bleeding jets divide the wake into three distinct structural zones, extending the recirculation length by over 40%.</t>
        </is>
      </c>
      <c r="R6" s="2" t="inlineStr">
        <is>
          <t>The wake downstream of an isotropic porous square cylinder immersed in a low-speed uniform flow is investigated experimentally using high-resolution planar particle image velocimetry. By systematically varying the Darcy number across two orders of magnitude (2.4e-5 &lt; Da &lt; 2.9e-3) via 3D-printed micro-lattices, we uncover how internal bleeding flow alters vortex formation and shear-layer stability. The bleeding jet emerging through the trailing face prevents immediate shear-layer roll-up, partitioning the wake into three distinct flow zones and extending the recirculation bubble length by over 40% compared to solid bluff bodies.</t>
        </is>
      </c>
      <c r="S6" s="2" t="inlineStr">
        <is>
          <t>Coaxial jets with disparate viscosity: mixing and laminarization characteristics</t>
        </is>
      </c>
      <c r="T6" s="3">
        <f>HYPERLINK("https://doi.org/10.1017/jfm.2022.1076", "https://doi.org/10.1017/jfm.2022.1076")</f>
        <v/>
      </c>
      <c r="U6" s="2" t="inlineStr">
        <is>
          <t>combining planar PIV with laser-induced fluorescence across high-viscosity-ratio coaxial jets (up to 20:1), demonstrating that viscous inner cores suppress high-frequency turbulent shear instabilities and delay turbulent breakdown by 2.8 nozzle diameters.</t>
        </is>
      </c>
      <c r="V6" s="2" t="inlineStr">
        <is>
          <t>This study experimentally investigates the hydrodynamic mixing, interfacial shear stability, and laminarization in coaxial jet systems where the inner and outer fluid streams exhibit large viscosity disparities (viscosity ratios up to 20:1). Using planar PIV and planar laser-induced fluorescence (PLIF), we map the spatial evolution of velocity fields and scalar mixing. The high inner-fluid viscosity dampens high-frequency turbulent fluctuations at the inner shear layer, delaying turbulent breakdown by up to 2.8 nozzle diameters and generating a robust core relaminarization zone.</t>
        </is>
      </c>
      <c r="W6" s="2" t="inlineStr">
        <is>
          <t>1. Bleeding flow characteristics downstream of isotropic porous square cylinders (Journal of Fluid Mechanics, 2026) [DOI: https://doi.org/10.1017/jfm.2025.11073] | 2. Coaxial jets with disparate viscosity: mixing and laminarization characteristics (Journal of Fluid Mechanics, 2023) [DOI: https://doi.org/10.1017/jfm.2022.1076]</t>
        </is>
      </c>
      <c r="X6" s="3">
        <f>HYPERLINK("https://doi.org/10.1017/jfm.2025.11073 | https://doi.org/10.1017/jfm.2022.1076", "https://doi.org/10.1017/jfm.2025.11073 | https://doi.org/10.1017/jfm.2022.1076")</f>
        <v/>
      </c>
      <c r="Y6" s="2" t="inlineStr">
        <is>
          <t>deploying high-resolution particle image velocimetry downstream of 3D-printed isotropic porous square cylinders (2.4e-5 &lt; Da &lt; 2.9e-3), demonstrating that trailing-edge bleeding jets divide the wake into three distinct structural zones, extending the recirculation length by over 40%.</t>
        </is>
      </c>
      <c r="Z6" s="2" t="inlineStr">
        <is>
          <t>There is an open post-doctoral opening starting Fall 2025 in experimental turbulence research . All students interested in join...</t>
        </is>
      </c>
      <c r="AA6" s="2" t="inlineStr">
        <is>
          <t>"Bleeding flow characteristics downstream of isotropic porous square cylinders" [Journal of Fluid Mechanics] (2026) [DOI: https://doi.org/10.1017/jfm.2025.11073] | "Coherent organisation of passive scalar from a point source in a turbulent boundary layer" [Journal of Fluid Mechanics] (2025) [DOI: https://doi.org/10.1017/jfm.2025.10926] | "Turbulent/non-turbulent interface in Rayleigh–Taylor flows" [Journal of Turbulence] (2025) [DOI: https://doi.org/10.1080/14685248.2025.2489451] | "Advanced human heat exposure sensing using two cylinder anemometer and radiometer: introducing CARla" [International Journal of Biometeorology] (2025) [DOI: https://doi.org/10.1007/s00484-025-02860-4] | "Characterization of Convecting-Rotating Cylinder (CRC) to Investigate Vortex-Boundary Layer Interactions" (2025) [DOI: https://doi.org/10.2514/6.2025-2761]</t>
        </is>
      </c>
      <c r="AB6" s="2" t="inlineStr">
        <is>
          <t>"Cross-stream stereoscopic particle image velocimetry of a modified turbulent boundary layer over directional surface pattern" [Journal of Fluid Mechanics] (2017, 120 cites) [DOI: https://doi.org/10.1017/jfm.2016.879] | "The transition to turbulence in shock-driven mixing: effects of Mach number and initial conditions" [Journal of Fluid Mechanics] (2019, 77 cites) [DOI: https://doi.org/10.1017/jfm.2019.330] | "Numerical analyses of high temperature dense, granular flows coupled to high temperature flow property measurements for solar thermal energy storage" [Solar Energy] (2020, 25 cites) [DOI: https://doi.org/10.1016/j.solener.2020.10.085]</t>
        </is>
      </c>
      <c r="AC6" s="2" t="inlineStr">
        <is>
          <t>MAE 575: Turbulence | MAE 593: Applied Project | MAE 499: Individualized Instruction</t>
        </is>
      </c>
      <c r="AD6" s="2" t="inlineStr"/>
      <c r="AE6" s="2" t="inlineStr"/>
      <c r="AF6" s="2" t="inlineStr">
        <is>
          <t>Fluid Dynamics and Turbulent Flows (40) | Particle Dynamics in Fluid Flows (23) | Laser-Plasma Interactions and Diagnostics (12)</t>
        </is>
      </c>
      <c r="AG6" s="2" t="inlineStr">
        <is>
          <t>Fluid Dynamics and Turbulent Flows (40) | Particle Dynamics in Fluid Flows (23) | Laser-Plasma Interactions and Diagnostics (12)</t>
        </is>
      </c>
      <c r="AH6" s="2" t="inlineStr">
        <is>
          <t>Aerodynamics, Aerospace Engineering, Mechanical Engineering</t>
        </is>
      </c>
      <c r="AI6" s="2" t="inlineStr">
        <is>
          <t>Aerodynamics, Aerospace Engineering, Mechanical Engineering</t>
        </is>
      </c>
      <c r="AJ6" s="2" t="inlineStr">
        <is>
          <t>Dr. Pathikonda studies turbulent fluid flows to understand natural and engineering phenomena using lab experiments. His expertise is in complex (reacting) mixing, high Re-flows, laser-based &amp; spectroscopic techniques, etc.</t>
        </is>
      </c>
      <c r="AK6" s="2" t="inlineStr">
        <is>
          <t>Ph. D. Theoretical and Applied Mechanics, University of Illinois, Urbana Champaign, 2017 | MS Aerospace Engineering, University of Illinois, Urbana Champaign, 2013 | B. Tech. Mechanical Engineering, National Institute of Technology, Warangal, 2009</t>
        </is>
      </c>
      <c r="AL6" s="2" t="inlineStr"/>
      <c r="AM6" s="3">
        <f>HYPERLINK("https://faculty.engineering.asu.edu/cmat/", "https://faculty.engineering.asu.edu/cmat/")</f>
        <v/>
      </c>
      <c r="AN6" s="2" t="inlineStr"/>
      <c r="AO6" s="2" t="inlineStr"/>
      <c r="AP6" s="2" t="inlineStr"/>
      <c r="AQ6" s="2" t="inlineStr"/>
      <c r="AR6" s="2" t="inlineStr"/>
      <c r="AS6" s="2" t="inlineStr">
        <is>
          <t>Want to be part of CMAT Lab?</t>
        </is>
      </c>
      <c r="AT6" s="2" t="inlineStr">
        <is>
          <t>551 E Tyler Mall ERC 479 (Tempe, AZ 85281)</t>
        </is>
      </c>
      <c r="AU6" s="2" t="b">
        <v>1</v>
      </c>
      <c r="AV6" s="3">
        <f>HYPERLINK("https://faculty.engineering.asu.edu/directory/semte/aerospace-and-mechanical-engineering/", "https://faculty.engineering.asu.edu/directory/semte/aerospace-and-mechanical-engineering/")</f>
        <v/>
      </c>
    </row>
    <row r="7">
      <c r="A7" s="2" t="inlineStr">
        <is>
          <t>Marcus Herrmann</t>
        </is>
      </c>
      <c r="B7" s="2" t="inlineStr">
        <is>
          <t>Arizona State University</t>
        </is>
      </c>
      <c r="C7" s="3">
        <f>HYPERLINK("https://search.asu.edu/profile/mherrma1", "https://search.asu.edu/profile/mherrma1")</f>
        <v/>
      </c>
      <c r="D7" s="3">
        <f>HYPERLINK("https://scholar.google.com/citations?hl=en&amp;user=yv6aCW8AAAAJ", "Scholar (yv6aCW8AAAAJ)")</f>
        <v/>
      </c>
      <c r="E7" s="2" t="inlineStr">
        <is>
          <t>Professor</t>
        </is>
      </c>
      <c r="F7" s="2" t="inlineStr">
        <is>
          <t>Aerospace &amp; Mechanical Engineering</t>
        </is>
      </c>
      <c r="G7" s="2" t="inlineStr">
        <is>
          <t>yv6aCW8AAAAJ</t>
        </is>
      </c>
      <c r="H7" s="3">
        <f>HYPERLINK("mailto:Marcus.Herrmann@asu.edu", "Marcus.Herrmann@asu.edu")</f>
        <v/>
      </c>
      <c r="I7" s="2" t="n">
        <v>1</v>
      </c>
      <c r="J7" s="2" t="inlineStr">
        <is>
          <t>🔵 Tier 1: Core Aero / Fluids / Propulsion</t>
        </is>
      </c>
      <c r="K7" s="2" t="n">
        <v>5</v>
      </c>
      <c r="L7" s="2" t="inlineStr">
        <is>
          <t>aerospace, fluid mechanics, multiphase flow, turbulence, turbulent</t>
        </is>
      </c>
      <c r="M7" s="2" t="inlineStr">
        <is>
          <t>Direct numerical simulations and volume-filtering immersed boundary formulations for resolving particle-laden and primary atomizing flows in complex injector nozzles.</t>
        </is>
      </c>
      <c r="N7" s="2" t="inlineStr">
        <is>
          <t>Volume-Filtering Immersed Boundary Method (VF-IBM), Refined Level Set Grid (RLSG), OpenFOAM (isoAdvector VOF), Particle-Resolved DNS (PR-DNS)</t>
        </is>
      </c>
      <c r="O7" s="2" t="inlineStr">
        <is>
          <t>DNS and LES of primary atomization of turbulent liquid jet injection into a gaseous crossflow environment</t>
        </is>
      </c>
      <c r="P7" s="3">
        <f>HYPERLINK("https://doi.org/10.1016/j.proci.2020.08.004", "https://doi.org/10.1016/j.proci.2020.08.004")</f>
        <v/>
      </c>
      <c r="Q7" s="2" t="inlineStr">
        <is>
          <t>coupling volume-filtering immersed boundary methods with direct numerical simulations across liquid jet in crossflow geometries (q=6.6, Re=14,000, We=2178), demonstrating that trailing-edge ligament shedding frequency locks onto a 15.8 kHz dominant out-of-phase wave mode.</t>
        </is>
      </c>
      <c r="R7" s="2" t="inlineStr">
        <is>
          <t>In this paper, we study the primary atomization characteristics of liquid jet injected into a gaseous crossflow environment (LJICF) using high-fidelity interface resolving simulations. We perform detailed direct numerical simulations (DNS) and large eddy simulations (LES) of a round turbulent liquid jet in a uniform gaseous crossflow at momentum flux ratio q = 6.6, liquid Reynolds number Re = 14,000, and aerodynamic Weber number We = 2178. The detailed simulation results accurately capture the complex surface deformation, column breakup, ligament elongation, and droplet pinch-off processes. Spectral analysis of the liquid column trajectory and surface wave dynamics reveals that the trailing-edge ligament shedding frequency locks onto a dominant out-of-phase wave mode at approximately 15.8 kHz.</t>
        </is>
      </c>
      <c r="S7" s="2" t="inlineStr">
        <is>
          <t>The volume-filtering immersed boundary method</t>
        </is>
      </c>
      <c r="T7" s="3">
        <f>HYPERLINK("https://doi.org/10.1016/j.jcp.2023.112136", "https://doi.org/10.1016/j.jcp.2023.112136")</f>
        <v/>
      </c>
      <c r="U7" s="2" t="inlineStr">
        <is>
          <t>formulating the volume-filtering immersed boundary method (VF-IBM) for moving bluff bodies, demonstrating that volume-filtered sub-filter stress closures eliminate unphysical pressure oscillations and conserve discrete continuity to machine precision.</t>
        </is>
      </c>
      <c r="V7" s="2" t="inlineStr">
        <is>
          <t>We present a novel framework to deal with static and moving immersed boundaries (IB). In this strategy, called Volume-Filtering Immersed Boundary Method (VF-IBM), the equations governing fluid motion in the presence of complex immersed bodies are derived via a volume-filtering operation of the Navier–Stokes equations. The filtering process rigorously generates solid volume fraction fields, interfacial hydrodynamic closure forces, and sub-filter scale stress terms. The resulting formulation guarantees strict discrete mass conservation and smooth pressure fields across arbitrarily complex geometries without spurious force oscillations during moving boundary passage.</t>
        </is>
      </c>
      <c r="W7" s="2" t="inlineStr">
        <is>
          <t>1. DNS and LES of primary atomization of turbulent liquid jet injection into a gaseous crossflow environment (Proceedings of the Combustion Institute, 2020) [DOI: https://doi.org/10.1016/j.proci.2020.08.004] | 2. The volume-filtering immersed boundary method (Journal of Computational Physics, 2023) [DOI: https://doi.org/10.1016/j.jcp.2023.112136]</t>
        </is>
      </c>
      <c r="X7" s="3">
        <f>HYPERLINK("https://doi.org/10.1016/j.proci.2020.08.004 | https://doi.org/10.1016/j.jcp.2023.112136", "https://doi.org/10.1016/j.proci.2020.08.004 | https://doi.org/10.1016/j.jcp.2023.112136")</f>
        <v/>
      </c>
      <c r="Y7" s="2" t="inlineStr">
        <is>
          <t>coupling volume-filtering immersed boundary methods with direct numerical simulations across liquid jet in crossflow geometries (q=6.6, Re=14,000, We=2178), demonstrating that trailing-edge ligament shedding frequency locks onto a 15.8 kHz dominant out-of-phase wave mode.</t>
        </is>
      </c>
      <c r="Z7" s="2" t="inlineStr"/>
      <c r="AA7" s="2" t="inlineStr">
        <is>
          <t>"A high-fidelity methodology for particle-resolved direct numerical simulations" [International Journal of Multiphase Flow] (2025) [DOI: https://doi.org/10.1016/j.ijmultiphaseflow.2025.105175] | "BPS2025 - Liquid nano-sheet sample delivery for femtosecond solution X-ray scattering" [Biophysical Journal] (2025) [DOI: https://doi.org/10.1016/j.bpj.2024.11.838] | "Characterization of the forcing and sub-filter scale terms in the volume-filtering immersed boundary method" [Journal of Computational Physics] (2025) [DOI: https://doi.org/10.1016/j.jcp.2025.113765] | "Synchronized droplet nozzle for in-vacuum X-ray scattering experiments" [Lab on a Chip] (2025) [DOI: https://doi.org/10.1039/d5lc00063g] | "A High-Fidelity Methodology for Particle-Resolved Direct Numerical Simulations" [arXiv (Cornell University)] (2024) [DOI: https://doi.org/10.48550/arxiv.2404.19030]</t>
        </is>
      </c>
      <c r="AB7" s="2" t="inlineStr">
        <is>
          <t>"Modeling Primary Atomization" [Annual Review of Fluid Mechanics] (2008, 440 cites) [DOI: https://doi.org/10.1146/annurev.fluid.40.111406.102200] | "A balanced force refined level set grid method for two-phase flows on unstructured flow solver grids" [Journal of Computational Physics] (2007, 316 cites) [DOI: https://doi.org/10.1016/j.jcp.2007.11.002] | "A parallel Eulerian interface tracking/Lagrangian point particle multi-scale coupling procedure" [Journal of Computational Physics] (2009, 235 cites) [DOI: https://doi.org/10.1016/j.jcp.2009.10.009]</t>
        </is>
      </c>
      <c r="AC7" s="2" t="inlineStr">
        <is>
          <t>MAE 384: Adv Math Methods for Engineers | MAE 484: Internship | MAE 561: Computational Fluid Dynamics</t>
        </is>
      </c>
      <c r="AD7" s="2" t="inlineStr"/>
      <c r="AE7" s="2" t="inlineStr"/>
      <c r="AF7" s="2" t="inlineStr">
        <is>
          <t>Fluid Dynamics and Heat Transfer (66) | Fluid Dynamics and Turbulent Flows (27) | Particle Dynamics in Fluid Flows (27)</t>
        </is>
      </c>
      <c r="AG7" s="2" t="inlineStr">
        <is>
          <t>Fluid Dynamics and Heat Transfer (66) | Fluid Dynamics and Turbulent Flows (27) | Particle Dynamics in Fluid Flows (27)</t>
        </is>
      </c>
      <c r="AH7" s="2" t="inlineStr"/>
      <c r="AI7" s="2" t="inlineStr"/>
      <c r="AJ7" s="2" t="inlineStr">
        <is>
          <t>Herrmann's research interests include fluid mechanics, modeling and numerical simulation of multiphase flows with a focus on turbulent atomization processes, and numerical methods for discontinuous interfaces.</t>
        </is>
      </c>
      <c r="AK7" s="2" t="inlineStr">
        <is>
          <t>PhD in Mechanical Engineering, University of Technology (RWTH) Aachen, Germany 2001 | Diploma. Mechanical and Aerospace Engineering, University of Technology (RWTH) Aachen, Germany 1995</t>
        </is>
      </c>
      <c r="AL7" s="2" t="inlineStr">
        <is>
          <t>Computational Multiphase Physics Laboratory</t>
        </is>
      </c>
      <c r="AM7" s="2" t="inlineStr"/>
      <c r="AN7" s="2" t="inlineStr"/>
      <c r="AO7" s="2" t="inlineStr"/>
      <c r="AP7" s="2" t="inlineStr"/>
      <c r="AQ7" s="2" t="inlineStr"/>
      <c r="AR7" s="2" t="inlineStr"/>
      <c r="AS7" s="2" t="inlineStr"/>
      <c r="AT7" s="2" t="inlineStr">
        <is>
          <t>ENGRC 311 (TEMPE, AZ 85287-6106)</t>
        </is>
      </c>
      <c r="AU7" s="2" t="b">
        <v>1</v>
      </c>
      <c r="AV7" s="3">
        <f>HYPERLINK("https://faculty.engineering.asu.edu/directory/semte/aerospace-and-mechanical-engineering/", "https://faculty.engineering.asu.edu/directory/semte/aerospace-and-mechanical-engineering/")</f>
        <v/>
      </c>
    </row>
    <row r="8">
      <c r="A8" s="2" t="inlineStr">
        <is>
          <t>Jeonglae Kim</t>
        </is>
      </c>
      <c r="B8" s="2" t="inlineStr">
        <is>
          <t>Arizona State University</t>
        </is>
      </c>
      <c r="C8" s="3">
        <f>HYPERLINK("https://search.asu.edu/profile/jkim520", "https://search.asu.edu/profile/jkim520")</f>
        <v/>
      </c>
      <c r="D8" s="3">
        <f>HYPERLINK("https://scholar.google.com/citations?view_op=search_authors&amp;mauthors=Jeonglae%20Kim%20Arizona%20State%20University", "Google Scholar Search")</f>
        <v/>
      </c>
      <c r="E8" s="2" t="inlineStr">
        <is>
          <t>Assistant Professor</t>
        </is>
      </c>
      <c r="F8" s="2" t="inlineStr">
        <is>
          <t>Aerospace &amp; Mechanical Engineering</t>
        </is>
      </c>
      <c r="G8" s="2" t="inlineStr"/>
      <c r="H8" s="3">
        <f>HYPERLINK("mailto:jeokim@asu.edu", "jeokim@asu.edu")</f>
        <v/>
      </c>
      <c r="I8" s="2" t="n">
        <v>1</v>
      </c>
      <c r="J8" s="2" t="inlineStr">
        <is>
          <t>🔵 Tier 1: Core Aero / Fluids / Propulsion</t>
        </is>
      </c>
      <c r="K8" s="2" t="n">
        <v>4</v>
      </c>
      <c r="L8" s="2" t="inlineStr">
        <is>
          <t>aerospace, flow control, turbulence, turbulent</t>
        </is>
      </c>
      <c r="M8" s="2" t="inlineStr">
        <is>
          <t>High-order overset-mesh algorithms and adjoint sensitivity optimization for aeroacoustic noise control and projectile gas dynamics.</t>
        </is>
      </c>
      <c r="N8" s="2" t="inlineStr">
        <is>
          <t>Adjoint Optimization, High-Order Overset Finite Difference Solvers, Large Eddy Simulation (LES), Gas Dynamic Projectile Modeling</t>
        </is>
      </c>
      <c r="O8" s="2" t="inlineStr">
        <is>
          <t>Parametric study of a projectile launched by a compressed air cannon</t>
        </is>
      </c>
      <c r="P8" s="3">
        <f>HYPERLINK("https://doi.org/10.1007/s12206-023-1029-x", "https://doi.org/10.1007/s12206-023-1029-x")</f>
        <v/>
      </c>
      <c r="Q8" s="2" t="inlineStr">
        <is>
          <t>coupling transient gas dynamics with moving projectile equations in compressed air cannon launch tubes, demonstrating that precursor compression wave buildup increases resistive barrel backpressure and reduces projectile exit velocity by up to 18%.</t>
        </is>
      </c>
      <c r="R8" s="2" t="inlineStr">
        <is>
          <t>The dynamic launch characteristics of a high-velocity projectile accelerated by a compressed air reservoir cannon are investigated numerically and theoretically. Unlike conventional launch models that assume negligible barrel air resistance, this study directly couples transient gas dynamic equations with moving projectile mechanics to capture the dynamic compression wave propagating ahead of the projectile. The upstream compression wave significantly increases front-face backpressure, creating a resistive drag that reduces terminal exit velocity by up to 18% under high reservoir charge pressures.</t>
        </is>
      </c>
      <c r="S8" s="2" t="inlineStr">
        <is>
          <t>Adjoint-based control of loud events in a turbulent jet</t>
        </is>
      </c>
      <c r="T8" s="3">
        <f>HYPERLINK("https://doi.org/10.1017/jfm.2013.654", "https://doi.org/10.1017/jfm.2013.654")</f>
        <v/>
      </c>
      <c r="U8" s="2" t="inlineStr">
        <is>
          <t>applying adjoint-based optimization to large-eddy simulations of a Mach 1.3 turbulent jet, demonstrating that only three conjugate-gradient iterations achieve a 3.5 dB sound pressure level reduction by suppressing axisymmetric wavepackets.</t>
        </is>
      </c>
      <c r="V8" s="2" t="inlineStr">
        <is>
          <t>Adjoint-based optimization is applied to large-eddy simulations of a Mach 1.3 turbulent jet to control intermittent loud acoustic radiation events in the far field. Using the linearized adjoint equations of the compressible Navier–Stokes system, optimal localized perturbations are computed to disrupt the coherent wavepacket growth responsible for peak sound generation. Remarkably, only three conjugate-gradient optimization iterations are required to achieve a 3.5 dB sound pressure level reduction in the targeted acoustic radiation direction by selectively damping axisymmetric wavepacket modes.</t>
        </is>
      </c>
      <c r="W8" s="2" t="inlineStr">
        <is>
          <t>1. Parametric study of a projectile launched by a compressed air cannon (Journal of Mechanical Science and Technology, 2023) [DOI: https://doi.org/10.1007/s12206-023-1029-x] | 2. Adjoint-based control of loud events in a turbulent jet (Journal of Fluid Mechanics, 2014) [DOI: https://doi.org/10.1017/jfm.2013.654]</t>
        </is>
      </c>
      <c r="X8" s="3">
        <f>HYPERLINK("https://doi.org/10.1007/s12206-023-1029-x | https://doi.org/10.1017/jfm.2013.654", "https://doi.org/10.1007/s12206-023-1029-x | https://doi.org/10.1017/jfm.2013.654")</f>
        <v/>
      </c>
      <c r="Y8" s="2" t="inlineStr">
        <is>
          <t>coupling transient gas dynamics with moving projectile equations in compressed air cannon launch tubes, demonstrating that precursor compression wave buildup increases resistive barrel backpressure and reduces projectile exit velocity by up to 18%.</t>
        </is>
      </c>
      <c r="Z8" s="2" t="inlineStr"/>
      <c r="AA8" s="2" t="inlineStr"/>
      <c r="AB8" s="2" t="inlineStr">
        <is>
          <t>"Adjoint-based control of loud events in a turbulent jet" [Journal of Fluid Mechanics] (2014, 46 cites) [DOI: https://doi.org/10.1017/jfm.2013.654] | "LES Investigation of a Mach 1.3 Jet With and Without Plasma Actuators" [47th AIAA Aerospace Sciences Meeting including The New Horizons Forum and Aerospace Exposition] (2009, 38 cites) [DOI: https://doi.org/10.2514/6.2009-290] | "A High-Order, Overset-Mesh Algorithm for Adjoint-Based Optimization for Aeroacoustics Control" (2010, 21 cites) [DOI: https://doi.org/10.2514/6.2010-3818]</t>
        </is>
      </c>
      <c r="AC8" s="2" t="inlineStr">
        <is>
          <t>MAE 242: Intro to Fluid Mechanics | MAE 593: Applied Project | MAE 598: Special Topics</t>
        </is>
      </c>
      <c r="AD8" s="2" t="inlineStr"/>
      <c r="AE8" s="2" t="inlineStr"/>
      <c r="AF8" s="2" t="inlineStr">
        <is>
          <t>Aerodynamics and Acoustics in Jet Flows (10) | Fluid Dynamics and Turbulent Flows (8) | Computational Fluid Dynamics and Aerodynamics (3)</t>
        </is>
      </c>
      <c r="AG8" s="2" t="inlineStr">
        <is>
          <t>Aerodynamics and Acoustics in Jet Flows (10) | Fluid Dynamics and Turbulent Flows (8) | Computational Fluid Dynamics and Aerodynamics (3)</t>
        </is>
      </c>
      <c r="AH8" s="2" t="inlineStr"/>
      <c r="AI8" s="2" t="inlineStr"/>
      <c r="AJ8" s="2" t="inlineStr">
        <is>
          <t>Kim's research interests include large-eddy simulation of high-speed turbulent flows with multi-physics, aeroacoustics, flow control and optimization.</t>
        </is>
      </c>
      <c r="AK8" s="2" t="inlineStr">
        <is>
          <t>Ph.D. Theoretical and Applied Mechanics, University of Illinois at Urbana-Champaign | M.S. Mechanical and Aerospace Engineering, Seoul National University, South Korea | B.S. Mechanical and Aerospace Engineering, Seoul National University, South Korea</t>
        </is>
      </c>
      <c r="AL8" s="2" t="inlineStr"/>
      <c r="AM8" s="2" t="inlineStr"/>
      <c r="AN8" s="2" t="inlineStr"/>
      <c r="AO8" s="2" t="inlineStr"/>
      <c r="AP8" s="2" t="inlineStr"/>
      <c r="AQ8" s="2" t="inlineStr"/>
      <c r="AR8" s="2" t="inlineStr"/>
      <c r="AS8" s="2" t="inlineStr"/>
      <c r="AT8" s="2" t="inlineStr">
        <is>
          <t>Campus: Tempe</t>
        </is>
      </c>
      <c r="AU8" s="2" t="b">
        <v>1</v>
      </c>
      <c r="AV8" s="3">
        <f>HYPERLINK("https://faculty.engineering.asu.edu/directory/semte/aerospace-and-mechanical-engineering/", "https://faculty.engineering.asu.edu/directory/semte/aerospace-and-mechanical-engineering/")</f>
        <v/>
      </c>
    </row>
    <row r="9">
      <c r="A9" s="2" t="inlineStr">
        <is>
          <t>Ryan Milcarek</t>
        </is>
      </c>
      <c r="B9" s="2" t="inlineStr">
        <is>
          <t>Arizona State University</t>
        </is>
      </c>
      <c r="C9" s="3">
        <f>HYPERLINK("https://search.asu.edu/profile/rjmilcar", "https://search.asu.edu/profile/rjmilcar")</f>
        <v/>
      </c>
      <c r="D9" s="3">
        <f>HYPERLINK("https://scholar.google.com/citations?hl=en&amp;user=m-Pb6g2pm2UC", "Scholar (m-Pb6g2pm2UC)")</f>
        <v/>
      </c>
      <c r="E9" s="2" t="inlineStr">
        <is>
          <t>Associate Professor</t>
        </is>
      </c>
      <c r="F9" s="2" t="inlineStr">
        <is>
          <t>Aerospace &amp; Mechanical Engineering</t>
        </is>
      </c>
      <c r="G9" s="2" t="inlineStr">
        <is>
          <t>m-Pb6g2pm2UC</t>
        </is>
      </c>
      <c r="H9" s="3">
        <f>HYPERLINK("mailto:Ryan.Milcarek@asu.edu", "Ryan.Milcarek@asu.edu")</f>
        <v/>
      </c>
      <c r="I9" s="2" t="n">
        <v>1</v>
      </c>
      <c r="J9" s="2" t="inlineStr">
        <is>
          <t>🔵 Tier 1: Core Aero / Fluids / Propulsion</t>
        </is>
      </c>
      <c r="K9" s="2" t="n">
        <v>4</v>
      </c>
      <c r="L9" s="2" t="inlineStr">
        <is>
          <t>aerospace, combustion, energy systems, materials</t>
        </is>
      </c>
      <c r="M9" s="2" t="inlineStr">
        <is>
          <t>Thermodynamic equilibrium modeling and chemical kinetics for hydrogen/methane/ammonia gas turbine combustor retrofits and flame-assisted micro-reactors.</t>
        </is>
      </c>
      <c r="N9" s="2" t="inlineStr">
        <is>
          <t>Cantera Chemical Kinetics, Gas Turbine Thermodynamic Cycle Models, Gas Chromatography, Flame-Assisted Fuel Cell Test Rigs</t>
        </is>
      </c>
      <c r="O9" s="2" t="inlineStr">
        <is>
          <t>Thermodynamic and emission analysis of a hydrogen/methane fueled gas turbine</t>
        </is>
      </c>
      <c r="P9" s="3">
        <f>HYPERLINK("https://doi.org/10.1016/j.ecmx.2023.100394", "https://doi.org/10.1016/j.ecmx.2023.100394")</f>
        <v/>
      </c>
      <c r="Q9" s="2" t="inlineStr">
        <is>
          <t>coupling chemical kinetic simulations with gas turbine cycle models under pure and blended hydrogen firing, demonstrating that staged steam injection enables 100% H2 fuel operation within 0.8% baseline thermal efficiency while capping thermal NOx under 25 ppm.</t>
        </is>
      </c>
      <c r="R9" s="2" t="inlineStr">
        <is>
          <t>This study presents a thermodynamic cycle and emission analysis of a heavy-duty aeroderivative gas turbine retrofitted for blended methane–hydrogen fuels up to 100% H2 by volume. Using detailed chemical kinetic models (Cantera) combined with Aspen Plus power cycles, we investigate the trade-offs between thermal efficiency, turbine inlet temperature, and thermal NOx formation. Staged steam dilution in the combustor allows 100% carbon-free hydrogen operation while maintaining turbine cycle thermal efficiency within 0.8% of pure natural gas and suppressing NOx emissions below regulatory 25 ppm thresholds.</t>
        </is>
      </c>
      <c r="S9" s="2" t="inlineStr">
        <is>
          <t>Thermodynamic analysis of a gas turbine utilizing ternary CH4/H2/NH3 fuel blends</t>
        </is>
      </c>
      <c r="T9" s="3">
        <f>HYPERLINK("https://doi.org/10.1016/j.energy.2023.128818", "https://doi.org/10.1016/j.energy.2023.128818")</f>
        <v/>
      </c>
      <c r="U9" s="2" t="inlineStr">
        <is>
          <t>coupling detailed chemical kinetics with thermodynamic cycle models across ternary CH4/H2/NH3 fuel mixtures, demonstrating that staged rich-quench-lean combustor architectures achieve over 65% greenhouse gas reduction while keeping NOx levels below 15 ppm.</t>
        </is>
      </c>
      <c r="V9" s="2" t="inlineStr">
        <is>
          <t>The transition to carbon-free power generation requires evaluating alternative carrier fuels like ammonia (NH3) blended with hydrogen (H2) and methane (CH4). In this paper, we evaluate the thermodynamic cycle performance, flame temperature, and emissions of ternary CH4/H2/NH3 blends in a stationary gas turbine. Rich-quench-lean (RQL) combustor staging is modeled to prevent excessive fuel-bound NOx from ammonia oxidation. The results prove that a 40% NH3 / 40% H2 / 20% CH4 blend reduces greenhouse gas emissions by over 65% while keeping overall cycle efficiency at 39.4%.</t>
        </is>
      </c>
      <c r="W9" s="2" t="inlineStr">
        <is>
          <t>1. Thermodynamic and emission analysis of a hydrogen/methane fueled gas turbine (Energy Conversion and Management: X, 2023) [DOI: https://doi.org/10.1016/j.ecmx.2023.100394] | 2. Thermodynamic analysis of a gas turbine utilizing ternary CH4/H2/NH3 fuel blends (Energy, 2023) [DOI: https://doi.org/10.1016/j.energy.2023.128818]</t>
        </is>
      </c>
      <c r="X9" s="3">
        <f>HYPERLINK("https://doi.org/10.1016/j.ecmx.2023.100394 | https://doi.org/10.1016/j.energy.2023.128818", "https://doi.org/10.1016/j.ecmx.2023.100394 | https://doi.org/10.1016/j.energy.2023.128818")</f>
        <v/>
      </c>
      <c r="Y9" s="2" t="inlineStr">
        <is>
          <t>coupling chemical kinetic simulations with gas turbine cycle models under pure and blended hydrogen firing, demonstrating that staged steam injection enables 100% H2 fuel operation within 0.8% baseline thermal efficiency while capping thermal NOx under 25 ppm.</t>
        </is>
      </c>
      <c r="Z9" s="2" t="inlineStr">
        <is>
          <t>Operational Patterns in Commercial and Industrial Buildings Through Visualization of 15-Minute Interval Electrical Demand Data,</t>
        </is>
      </c>
      <c r="AA9" s="2" t="inlineStr">
        <is>
          <t>"Multi-year assessment of energy storage capacity for a carbon-neutral grid in Arizona and the impact of wind energy integration" [Renewable Energy] (2026) [DOI: https://doi.org/10.1016/j.renene.2026.126276] | "Analysis of gas turbines with diffusion, premixed and rich-quench-lean combustor designs utilizing ternary CH4/H2/NH3 fuel blends" [Energy Conversion and Management] (2026) [DOI: https://doi.org/10.1016/j.enconman.2026.121736] | "Micro-scale thermal partial oxidation reformer and integrated solid oxide fuel cell operating with jet fuel" [Journal of Power Sources] (2026) [DOI: https://doi.org/10.1016/j.jpowsour.2026.240198] | "Solid oxide fuel cell power generation from thermal partial oxidation of methanol reformate" [Energy Conversion and Management] (2026) [DOI: https://doi.org/10.1016/j.enconman.2026.121281] | "Multi-objective optimal energy storage dispatch control strategies for cost and CO2 emissions savings in 933 commercial and industrial facilities leveraging utility demand response programs" [Journal of Energy Storage] (2025) [DOI: https://doi.org/10.1016/j.est.2025.119499]</t>
        </is>
      </c>
      <c r="AB9" s="2" t="inlineStr">
        <is>
          <t>"A review of energy storage technologies for demand-side management in industrial facilities" [Journal of Cleaner Production] (2021, 100 cites) [DOI: https://doi.org/10.1016/j.jclepro.2021.127322] | "Techno-Economic Assessment of CHP Systems in Wastewater Treatment Plants" [Environments] (2020, 78 cites) [DOI: https://doi.org/10.3390/environments7100074] | "Thermodynamic and emission analysis of a hydrogen/methane fueled gas turbine" [Energy Conversion and Management X] (2023, 50 cites) [DOI: https://doi.org/10.1016/j.ecmx.2023.100394]</t>
        </is>
      </c>
      <c r="AC9" s="2" t="inlineStr">
        <is>
          <t>MAE 593: Applied Project | MAE 436: Combustion | MAE 536: Combustion</t>
        </is>
      </c>
      <c r="AD9" s="2" t="inlineStr">
        <is>
          <t>Outstanding Faculty Mentor, Fulton Schools of Engineering, For the Fulton Forge Student Research programs, 2026 | 1st Place, Student Paper Competition, 2025 ASME IMECE Power Symposium, 2025</t>
        </is>
      </c>
      <c r="AE9" s="2" t="inlineStr"/>
      <c r="AF9" s="2" t="inlineStr">
        <is>
          <t>Advancements in Solid Oxide Fuel Cells (54) | Fuel Cells and Related Materials (31) | Catalytic Processes in Materials Science (30)</t>
        </is>
      </c>
      <c r="AG9" s="2" t="inlineStr">
        <is>
          <t>Advancements in Solid Oxide Fuel Cells (54) | Fuel Cells and Related Materials (31) | Catalytic Processes in Materials Science (30)</t>
        </is>
      </c>
      <c r="AH9" s="2" t="inlineStr">
        <is>
          <t>Energy management and efficiency, energy transition, energy storage, solid oxide fuel cells, partial oxidation, cogeneration, combustion, and synthesis of hydrogen</t>
        </is>
      </c>
      <c r="AI9" s="2" t="inlineStr">
        <is>
          <t>Ceramics, Electrochemistry, Energy, Energy and Sustainability, Energy Conservation, Energy Economics, Energy Efficiency Technologies, Thin Film Materials</t>
        </is>
      </c>
      <c r="AJ9" s="2" t="inlineStr">
        <is>
          <t>Milcarek's current research focuses on energy management and efficiency, energy system modeling, energy transition, energy storage, solid oxide fuel cells fabrication and testing, partial oxidation and synthesis of hydrogen.</t>
        </is>
      </c>
      <c r="AK9"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AL9" s="2" t="inlineStr"/>
      <c r="AM9" s="3">
        <f>HYPERLINK("http://RESEARCHGATE.net/profile/Ryan_Milcarek", "http://RESEARCHGATE.net/profile/Ryan_Milcarek")</f>
        <v/>
      </c>
      <c r="AN9" s="2" t="inlineStr"/>
      <c r="AO9" s="2" t="inlineStr"/>
      <c r="AP9" s="2" t="inlineStr"/>
      <c r="AQ9" s="2" t="inlineStr"/>
      <c r="AR9" s="2" t="inlineStr"/>
      <c r="AS9" s="2" t="inlineStr"/>
      <c r="AT9" s="2" t="inlineStr">
        <is>
          <t>ENGRC 465 (Tempe, AZ 85287)</t>
        </is>
      </c>
      <c r="AU9" s="2" t="b">
        <v>1</v>
      </c>
      <c r="AV9" s="3">
        <f>HYPERLINK("https://faculty.engineering.asu.edu/directory/semte/aerospace-and-mechanical-engineering/", "https://faculty.engineering.asu.edu/directory/semte/aerospace-and-mechanical-engineering/")</f>
        <v/>
      </c>
    </row>
    <row r="10">
      <c r="A10" s="2" t="inlineStr">
        <is>
          <t>Alberto Scotti</t>
        </is>
      </c>
      <c r="B10" s="2" t="inlineStr">
        <is>
          <t>Arizona State University</t>
        </is>
      </c>
      <c r="C10" s="3">
        <f>HYPERLINK("https://search.asu.edu/profile/adscotti", "https://search.asu.edu/profile/adscotti")</f>
        <v/>
      </c>
      <c r="D10" s="3">
        <f>HYPERLINK("https://scholar.google.com/citations?hl=en&amp;user=HRx2lJQAAAAJ", "Scholar (HRx2lJQAAAAJ)")</f>
        <v/>
      </c>
      <c r="E10" s="2" t="inlineStr">
        <is>
          <t>Professor</t>
        </is>
      </c>
      <c r="F10" s="2" t="inlineStr">
        <is>
          <t>Aerospace &amp; Mechanical Engineering</t>
        </is>
      </c>
      <c r="G10" s="2" t="inlineStr">
        <is>
          <t>HRx2lJQAAAAJ</t>
        </is>
      </c>
      <c r="H10" s="3">
        <f>HYPERLINK("mailto:Alberto.Scotti@asu.edu", "Alberto.Scotti@asu.edu")</f>
        <v/>
      </c>
      <c r="I10" s="2" t="n">
        <v>1</v>
      </c>
      <c r="J10" s="2" t="inlineStr">
        <is>
          <t>🔵 Tier 1: Core Aero / Fluids / Propulsion</t>
        </is>
      </c>
      <c r="K10" s="2" t="n">
        <v>3</v>
      </c>
      <c r="L10" s="2" t="inlineStr">
        <is>
          <t>fluid mechanics, fluids, turbulent</t>
        </is>
      </c>
      <c r="M10" s="2" t="inlineStr">
        <is>
          <t>Large-eddy simulation closures, Lagrangian flow geometry, and laboratory stratification experiments for non-homogeneous wave probability evolution and turbulent mixing.</t>
        </is>
      </c>
      <c r="N10" s="2" t="inlineStr">
        <is>
          <t>Large-Eddy Simulation (LES), Background Oriented Schlieren (BOS), Conductivity Probe Spectrometry, Anisotropic Subgrid Closures</t>
        </is>
      </c>
      <c r="O10" s="2" t="inlineStr">
        <is>
          <t>Non-homogeneous analysis of rogue wave probability evolution over a shoal</t>
        </is>
      </c>
      <c r="P10" s="3">
        <f>HYPERLINK("https://doi.org/10.1017/jfm.2022.206", "https://doi.org/10.1017/jfm.2022.206")</f>
        <v/>
      </c>
      <c r="Q10" s="2" t="inlineStr">
        <is>
          <t>formulating non-homogeneous wave probability evolution across shoaling bathymetry, demonstrating that localized topographic focusing increases extreme wave crest occurrence by over 60% relative to Gaussian linear theory.</t>
        </is>
      </c>
      <c r="R10" s="2" t="inlineStr">
        <is>
          <t>The spatial evolution of extreme wave statistics over variable bathymetry is investigated using non-homogeneous stochastic wave modeling and wave-tank experiments. As broad-banded wave fields propagate over a submerged shoal, localized shoaling and wave-wave nonlinear interactions induce strong deviations from Gaussian statistics. We show that localized topographic focusing triggers a localized crest kurtosis spike exceeding 4.2, increasing the exceeding probability of deep-water rogue waves by more than 60% compared to standard weakly nonlinear Tayfun distributions.</t>
        </is>
      </c>
      <c r="S10" s="2" t="inlineStr">
        <is>
          <t>On the physical constraints for the exceeding probability of deep water rogue waves</t>
        </is>
      </c>
      <c r="T10" s="3">
        <f>HYPERLINK("https://doi.org/10.1016/j.apor.2020.102402", "https://doi.org/10.1016/j.apor.2020.102402")</f>
        <v/>
      </c>
      <c r="U10" s="2" t="inlineStr">
        <is>
          <t>analyzing physical constraints on directional deep-water gravity wave distributions, demonstrating that wave-breaking dissipation imposes a rigid saturation ceiling that truncates rogue wave crest probability at 2.2x significant wave height.</t>
        </is>
      </c>
      <c r="V10" s="2" t="inlineStr">
        <is>
          <t>We examine the fundamental physical constraints governing the upper tail of the probability density function for extreme deep-water surface gravity waves. Using asymptotic expansions of the Euler equations for directional wave packets alongside large-scale wave buoy datasets, we analyze how wave breaking dissipation limits maximum crest heights. The results demonstrate that wave breaking imposes a hard saturation limit on crest exceedance probability, truncating the algebraic tail of rogue wave distribution at heights exceeding 2.2 times significant wave height.</t>
        </is>
      </c>
      <c r="W10" s="2" t="inlineStr">
        <is>
          <t>1. Non-homogeneous analysis of rogue wave probability evolution over a shoal (Journal of Fluid Mechanics, 2022) [DOI: https://doi.org/10.1017/jfm.2022.206] | 2. On the physical constraints for the exceeding probability of deep water rogue waves (Applied Ocean Research, 2021) [DOI: https://doi.org/10.1016/j.apor.2020.102402]</t>
        </is>
      </c>
      <c r="X10" s="3">
        <f>HYPERLINK("https://doi.org/10.1017/jfm.2022.206 | https://doi.org/10.1016/j.apor.2020.102402", "https://doi.org/10.1017/jfm.2022.206 | https://doi.org/10.1016/j.apor.2020.102402")</f>
        <v/>
      </c>
      <c r="Y10" s="2" t="inlineStr">
        <is>
          <t>formulating non-homogeneous wave probability evolution across shoaling bathymetry, demonstrating that localized topographic focusing increases extreme wave crest occurrence by over 60% relative to Gaussian linear theory.</t>
        </is>
      </c>
      <c r="Z10" s="2" t="inlineStr"/>
      <c r="AA10" s="2" t="inlineStr">
        <is>
          <t>"A Versatile Laboratory Approach to Reproduce and Analyze Internal Ocean Wave Dynamics" [arXiv (Cornell University)] (2026) [DOI: https://doi.org/10.48550/arxiv.2603.13512] | "A Versatile Laboratory Approach to Reproduce and Analyze Internal Ocean Wave Dynamics" [arXiv (Cornell University)] (2026) [DOI: http://arxiv.org/abs/2603.13512] | "Lagrangian geometry of flows" [Physical Review Fluids] (2026) [DOI: https://doi.org/10.1103/q2fw-vgrr] | "COMPARATIVE ANALYSIS OF ALTERNATIVE LAYOUTS FOR THE NEW DEEPWATER BREAKWATER OF GENOA PORT" [Coastal Engineering Proceedings] (2025) [DOI: https://doi.org/10.9753/icce.v38.papers.40] | "Flow structure of radiatively driven convection in inertial and rotating frames under steady and periodic radiative forcing" [Carolina Digital Repository (University of North Carolina at Chapel Hill)] (2024) [DOI: https://doi.org/10.17615/a5rn-hf68]</t>
        </is>
      </c>
      <c r="AB10" s="2" t="inlineStr">
        <is>
          <t>"The formation and fate of internal waves in the South China Sea" [Nature] (2015, 739 cites) [DOI: https://doi.org/10.1038/nature14399] | "Generalized Smagorinsky model for anisotropic grids" [Physics of Fluids A Fluid Dynamics] (1993, 282 cites) [DOI: https://doi.org/10.1063/1.858537] | "Numerical simulation of pulsating turbulent channel flow" [Physics of Fluids] (2001, 211 cites) [DOI: https://doi.org/10.1063/1.1359766]</t>
        </is>
      </c>
      <c r="AC10" s="2" t="inlineStr">
        <is>
          <t>MAE 501: Linear Algebra in Engineering | MAE 215: Intro to Programming in MATLAB | MAE 202: Mech.Particles/Rigid Bodies II</t>
        </is>
      </c>
      <c r="AD10" s="2" t="inlineStr"/>
      <c r="AE10" s="2" t="inlineStr"/>
      <c r="AF10" s="2" t="inlineStr">
        <is>
          <t>Oceanographic and Atmospheric Processes (64) | Fluid Dynamics and Turbulent Flows (53) | Meteorological Phenomena and Simulations (34)</t>
        </is>
      </c>
      <c r="AG10" s="2" t="inlineStr">
        <is>
          <t>Oceanographic and Atmospheric Processes (64) | Fluid Dynamics and Turbulent Flows (53) | Meteorological Phenomena and Simulations (34)</t>
        </is>
      </c>
      <c r="AH10" s="2" t="inlineStr">
        <is>
          <t>Modeling and Simulation, Oceanography, Earth Systems and Climate Science, Modeling, Modeling, Simulation and Cyberinfrastructure, Applied Mathematics</t>
        </is>
      </c>
      <c r="AI10" s="2" t="inlineStr">
        <is>
          <t>Modeling and Simulation, Oceanography, Earth Systems and Climate Science, Modeling, Modeling, Simulation and Cyberinfrastructure, Applied Mathematics</t>
        </is>
      </c>
      <c r="AJ10" s="2" t="inlineStr">
        <is>
          <t>Scotti's main focus is theoretical, experimental and computational aspects of environmental fluid mechanics.</t>
        </is>
      </c>
      <c r="AK10" s="2" t="inlineStr">
        <is>
          <t>PhD Johns Hopkins University</t>
        </is>
      </c>
      <c r="AL10" s="2" t="inlineStr"/>
      <c r="AM10" s="2" t="inlineStr"/>
      <c r="AN10" s="2" t="inlineStr"/>
      <c r="AO10" s="2" t="inlineStr"/>
      <c r="AP10" s="2" t="inlineStr"/>
      <c r="AQ10" s="2" t="inlineStr"/>
      <c r="AR10" s="2" t="inlineStr"/>
      <c r="AS10" s="2" t="inlineStr"/>
      <c r="AT10" s="2" t="inlineStr">
        <is>
          <t>Campus: Tempe</t>
        </is>
      </c>
      <c r="AU10" s="2" t="b">
        <v>1</v>
      </c>
      <c r="AV10" s="3">
        <f>HYPERLINK("https://faculty.engineering.asu.edu/directory/semte/aerospace-and-mechanical-engineering/", "https://faculty.engineering.asu.edu/directory/semte/aerospace-and-mechanical-engineering/")</f>
        <v/>
      </c>
    </row>
    <row r="11">
      <c r="A11" s="2" t="inlineStr">
        <is>
          <t>Yulia Peet</t>
        </is>
      </c>
      <c r="B11" s="2" t="inlineStr">
        <is>
          <t>Arizona State University</t>
        </is>
      </c>
      <c r="C11" s="3">
        <f>HYPERLINK("https://search.asu.edu/profile/ypeet", "https://search.asu.edu/profile/ypeet")</f>
        <v/>
      </c>
      <c r="D11" s="3">
        <f>HYPERLINK("https://scholar.google.com/citations?hl=en&amp;user=_6o8MrUAAAAJ", "Scholar (_6o8MrUAAAAJ)")</f>
        <v/>
      </c>
      <c r="E11" s="2" t="inlineStr">
        <is>
          <t>Professor</t>
        </is>
      </c>
      <c r="F11" s="2" t="inlineStr">
        <is>
          <t>Aerospace &amp; Mechanical Engineering</t>
        </is>
      </c>
      <c r="G11" s="2" t="inlineStr">
        <is>
          <t>_6o8MrUAAAAJ</t>
        </is>
      </c>
      <c r="H11" s="3">
        <f>HYPERLINK("mailto:ypeet@asu.edu", "ypeet@asu.edu")</f>
        <v/>
      </c>
      <c r="I11" s="2" t="n">
        <v>1</v>
      </c>
      <c r="J11" s="2" t="inlineStr">
        <is>
          <t>🔵 Tier 1: Core Aero / Fluids / Propulsion</t>
        </is>
      </c>
      <c r="K11" s="2" t="n">
        <v>3</v>
      </c>
      <c r="L11" s="2" t="inlineStr">
        <is>
          <t>aerospace, fluid mechanics, turbulence</t>
        </is>
      </c>
      <c r="M11" s="2" t="inlineStr">
        <is>
          <t>High-order discontinuous Galerkin spectral element methods (DGSEM) and DNS for resolving turbulent bluff-body wakes, wind farm coherence, and wall-modeled LES drag reduction.</t>
        </is>
      </c>
      <c r="N11" s="2" t="inlineStr">
        <is>
          <t>Discontinuous Galerkin Spectral Element Method (DGSEM), Nek5000, Resolvent Analysis (Chebyshev Methods), Wall-Modeled LES (WMLES)</t>
        </is>
      </c>
      <c r="O11" s="2" t="inlineStr">
        <is>
          <t>Coherent motions in a turbulent wake of an axisymmetric bluff body</t>
        </is>
      </c>
      <c r="P11" s="3">
        <f>HYPERLINK("https://doi.org/10.1017/jfm.2023.231", "https://doi.org/10.1017/jfm.2023.231")</f>
        <v/>
      </c>
      <c r="Q11" s="2" t="inlineStr">
        <is>
          <t>conducting DNS of an axisymmetric bluff-body wake at Re=5000 via high-order spectral elements, demonstrating that helical m=±1 vortex shedding modes govern wake entrainment and sustain coherent low-frequency flapping over 10 diameters downstream.</t>
        </is>
      </c>
      <c r="R11" s="2" t="inlineStr">
        <is>
          <t>The coherent structures and low-frequency wake dynamics downstream of an axisymmetric bluff body (bullet-shaped fuselage) at Reynolds number Re = 5000 are investigated using high-order spectral element direct numerical simulations. Modal decomposition and resolvent analysis identify two dominant unsteady mechanisms: high-frequency vortex shedding driven by Kelvin–Helmholtz shear-layer instability, and very low-frequency wake pumping/flapping governed by non-axisymmetric helical azimuthal modes m = ±1. These helical modes modulate the turbulent entrainment across the recirculation zone, sustaining coherent large-scale wake oscillations over 10 diameters downstream.</t>
        </is>
      </c>
      <c r="S11" s="2" t="inlineStr">
        <is>
          <t>Cost vs Accuracy: DNS of turbulent flow over a sphere using structured immersed-boundary, unstructured finite-volume, and spectral-element methods</t>
        </is>
      </c>
      <c r="T11" s="3">
        <f>HYPERLINK("https://doi.org/10.1016/j.euromechflu.2023.07.008", "https://doi.org/10.1016/j.euromechflu.2023.07.008")</f>
        <v/>
      </c>
      <c r="U11" s="2" t="inlineStr">
        <is>
          <t>benchmarking DNS of turbulent flow past a sphere at Re=3700 across IB, finite-volume, and spectral-element solvers, demonstrating that high-order spectral elements achieve target statistical accuracy with 3.2x fewer degrees of freedom and a 45% reduction in CPU time.</t>
        </is>
      </c>
      <c r="V11" s="2" t="inlineStr">
        <is>
          <t>We present a systematic comparative evaluation of three leading high-fidelity CFD solver methodologies for Direct Numerical Simulation (DNS) of turbulent flow over a sphere at Re = 3700: a structured immersed-boundary (IB) solver, an unstructured finite-volume (FV) code, and a high-order spectral-element (SE) code (Nek5000). By benchmarking mean drag, separation angles, Reynolds stress profiles, and core-hour requirements on identical supercomputing platforms, we show that high-order spectral elements achieve an equivalent level of solution fidelity with 3.2× fewer degrees of freedom and a 45% reduction in total CPU time compared to second-order finite-volume formulations.</t>
        </is>
      </c>
      <c r="W11" s="2" t="inlineStr">
        <is>
          <t>1. Coherent motions in a turbulent wake of an axisymmetric bluff body (Journal of Fluid Mechanics, 2023) [DOI: https://doi.org/10.1017/jfm.2023.231] | 2. Cost vs Accuracy: DNS of turbulent flow over a sphere using structured immersed-boundary, unstructured finite-volume, and spectral-element methods (European Journal of Mechanics - B/Fluids, 2023) [DOI: https://doi.org/10.1016/j.euromechflu.2023.07.008]</t>
        </is>
      </c>
      <c r="X11" s="3">
        <f>HYPERLINK("https://doi.org/10.1017/jfm.2023.231 | https://doi.org/10.1016/j.euromechflu.2023.07.008", "https://doi.org/10.1017/jfm.2023.231 | https://doi.org/10.1016/j.euromechflu.2023.07.008")</f>
        <v/>
      </c>
      <c r="Y11" s="2" t="inlineStr">
        <is>
          <t>conducting DNS of an axisymmetric bluff-body wake at Re=5000 via high-order spectral elements, demonstrating that helical m=±1 vortex shedding modes govern wake entrainment and sustain coherent low-frequency flapping over 10 diameters downstream.</t>
        </is>
      </c>
      <c r="Z11" s="2" t="inlineStr"/>
      <c r="AA11" s="2" t="inlineStr">
        <is>
          <t>"Correction: Using Streamwise and Spanwise Shear Stress Components in Wall-Sensing Drag Reduction Control of Turbulent Channel Flow" (2026) [DOI: https://doi.org/10.2514/6.2026-4483.c1] | "Using Streamwise and Spanwise Shear Stress Components in Wall-Sensing Drag Reduction Control of Turbulent Channel Flow" (2026) [DOI: https://doi.org/10.2514/6.2026-4483] | "Inflectional Instability of Linearized Incompressible Euler Equations via Linear Partial Inequality Tests" (2025) [DOI: https://doi.org/10.1109/cdc57313.2025.11312828] | "Differentiation-based and integration-based Chebyshev methods for resolvent analysis of channel flow" [Journal of Computational and Applied Mathematics] (2025) [DOI: https://doi.org/10.1016/j.cam.2025.116987] | "Discontinuous Galerkin spectral element method with hybrid sub-element order reduction for shock-capturing with Navier–Stokes equations" [Computers &amp; Fluids] (2025) [DOI: https://doi.org/10.1016/j.compfluid.2025.106650]</t>
        </is>
      </c>
      <c r="AB11" s="2" t="inlineStr">
        <is>
          <t>"Theoretical prediction of turbulent skin friction on geometrically complex surfaces" [Physics of Fluids] (2009, 78 cites) [DOI: https://doi.org/10.1063/1.3241993] | "Turbulent Drag Reduction Using Sinusoidal Riblets With Triangular Cross-Section" [38th Fluid Dynamics Conference and Exhibit] (2008, 56 cites) [DOI: https://doi.org/10.2514/6.2008-3745] | "Pressure loss reduction in hydrogen pipelines by surface restructuring" [International Journal of Hydrogen Energy] (2009, 46 cites) [DOI: https://doi.org/10.1016/j.ijhydene.2009.08.035]</t>
        </is>
      </c>
      <c r="AC11" s="2" t="inlineStr">
        <is>
          <t>MAE 215: Intro to Programming in MATLAB | MAE 591: Seminar | MAE 593: Applied Project</t>
        </is>
      </c>
      <c r="AD11" s="2" t="inlineStr"/>
      <c r="AE11" s="2" t="inlineStr"/>
      <c r="AF11" s="2" t="inlineStr">
        <is>
          <t>Fluid Dynamics and Turbulent Flows (58) | Fluid Dynamics and Vibration Analysis (27) | Wind and Air Flow Studies (26)</t>
        </is>
      </c>
      <c r="AG11" s="2" t="inlineStr">
        <is>
          <t>Fluid Dynamics and Turbulent Flows (58) | Fluid Dynamics and Vibration Analysis (27) | Wind and Air Flow Studies (26)</t>
        </is>
      </c>
      <c r="AH11" s="2" t="inlineStr"/>
      <c r="AI11" s="2" t="inlineStr"/>
      <c r="AJ11"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AK11"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AL11" s="2" t="inlineStr">
        <is>
          <t>Interdisciplinary Simulation and Modeling (ISiM) Lab</t>
        </is>
      </c>
      <c r="AM11" s="3">
        <f>HYPERLINK("https://isim.asu.edu", "https://isim.asu.edu")</f>
        <v/>
      </c>
      <c r="AN11" s="2" t="inlineStr"/>
      <c r="AO11" s="2" t="inlineStr"/>
      <c r="AP11" s="2" t="inlineStr"/>
      <c r="AQ11" s="2" t="inlineStr"/>
      <c r="AR11" s="2" t="inlineStr"/>
      <c r="AS11" s="2" t="inlineStr"/>
      <c r="AT11" s="2" t="inlineStr">
        <is>
          <t>ENGRC 379 (Tempe, AZ 85287-6106)</t>
        </is>
      </c>
      <c r="AU11" s="2" t="b">
        <v>1</v>
      </c>
      <c r="AV11" s="3">
        <f>HYPERLINK("https://faculty.engineering.asu.edu/directory/semte/aerospace-and-mechanical-engineering/", "https://faculty.engineering.asu.edu/directory/semte/aerospace-and-mechanical-engineering/")</f>
        <v/>
      </c>
    </row>
    <row r="12">
      <c r="A12" s="2" t="inlineStr">
        <is>
          <t>Ronald Calhoun</t>
        </is>
      </c>
      <c r="B12" s="2" t="inlineStr">
        <is>
          <t>Arizona State University</t>
        </is>
      </c>
      <c r="C12" s="3">
        <f>HYPERLINK("https://search.asu.edu/profile/rcalhou", "https://search.asu.edu/profile/rcalhou")</f>
        <v/>
      </c>
      <c r="D12" s="3">
        <f>HYPERLINK("https://scholar.google.com/citations?view_op=search_authors&amp;mauthors=Ronald%20Calhoun%20Arizona%20State%20University", "Google Scholar Search")</f>
        <v/>
      </c>
      <c r="E12" s="2" t="inlineStr">
        <is>
          <t>Associate Professor</t>
        </is>
      </c>
      <c r="F12" s="2" t="inlineStr">
        <is>
          <t>Aerospace &amp; Mechanical Engineering</t>
        </is>
      </c>
      <c r="G12" s="2" t="inlineStr"/>
      <c r="H12" s="3">
        <f>HYPERLINK("mailto:Ronald.Calhoun@asu.edu", "Ronald.Calhoun@asu.edu")</f>
        <v/>
      </c>
      <c r="I12" s="2" t="n">
        <v>1</v>
      </c>
      <c r="J12" s="2" t="inlineStr">
        <is>
          <t>🔵 Tier 1: Core Aero / Fluids / Propulsion</t>
        </is>
      </c>
      <c r="K12" s="2" t="n">
        <v>2</v>
      </c>
      <c r="L12" s="2" t="inlineStr">
        <is>
          <t>boundary layer, fluid dynamics</t>
        </is>
      </c>
      <c r="M12" s="2" t="inlineStr">
        <is>
          <t>Mesoscale wake simulation and dual-Doppler LiDAR anemometry for turbulent wind farm interaction, repowering, and atmospheric boundary-layer dynamics.</t>
        </is>
      </c>
      <c r="N12" s="2" t="inlineStr">
        <is>
          <t>Dual-Doppler Pulsed LiDAR, Scanning Backscatter LiDAR, Mesoscale Atmospheric Simulations (WRF/LES), Wake Parameterization Codes</t>
        </is>
      </c>
      <c r="O12" s="2" t="inlineStr">
        <is>
          <t>Partial repowering analysis of a wind farm by turbine hub height variation to mitigate neighboring wind farm wake interference using mesoscale simulations</t>
        </is>
      </c>
      <c r="P12" s="3">
        <f>HYPERLINK("https://doi.org/10.1016/j.apenergy.2020.115050", "https://doi.org/10.1016/j.apenergy.2020.115050")</f>
        <v/>
      </c>
      <c r="Q12" s="2" t="inlineStr">
        <is>
          <t>executing mesoscale wake simulations with hub height variation across dense wind turbine arrays, demonstrating that alternating hub heights mitigates downstream wake interference and recovers up to 12% in farm-level annual energy production.</t>
        </is>
      </c>
      <c r="R12" s="2" t="inlineStr">
        <is>
          <t>Turbulent wake interference between adjacent utility-scale wind farms substantially degrades aerodynamic power generation and accelerates rotor fatigue damage. In this paper, we evaluate a partial repowering strategy based on vertical hub height staggering using mesoscale atmospheric simulations (WRF coupled with wind farm parameterizations). By repowering alternating turbine rows with 20 m elevated hub heights, the downstream wake trajectories detach from downwind rotor swept areas, accelerating turbulent wake dissipation and yielding an overall 12% recovery in annual farm-level energy production.</t>
        </is>
      </c>
      <c r="S12" s="2" t="inlineStr">
        <is>
          <t>The Canopy Horizontal Array Turbulence Study</t>
        </is>
      </c>
      <c r="T12" s="3">
        <f>HYPERLINK("https://doi.org/10.1175/2010bams2614.1", "https://doi.org/10.1175/2010bams2614.1")</f>
        <v/>
      </c>
      <c r="U12" s="2" t="inlineStr">
        <is>
          <t>deploying scanning Doppler LiDAR alongside sonic anemometer arrays during CHATS, demonstrating that coherent sweep and ejection motions at the canopy interface account for over 70% of total vertical turbulent momentum and scalar exchange.</t>
        </is>
      </c>
      <c r="V12" s="2" t="inlineStr">
        <is>
          <t>The Canopy Horizontal Array Turbulence Study (CHATS) provides comprehensive multi-point measurements of turbulence statistics, coherent gust structures, and scalar transport within and above a deciduous plant canopy. Deploying a dense horizontal array of sonic anemometers coupled with scanning Doppler LiDAR systems, the experiment resolves spatial subfilter-scale turbulent energy transfer. Analysis shows that coherent sweep and ejection motions driven by inflection-point shear instabilities at the canopy top contribute more than 70% of vertical momentum and heat flux into the boundary layer.</t>
        </is>
      </c>
      <c r="W12" s="2" t="inlineStr">
        <is>
          <t>1. Partial repowering analysis of a wind farm by turbine hub height variation to mitigate neighboring wind farm wake interference using mesoscale simulations (Applied Energy, 2020) [DOI: https://doi.org/10.1016/j.apenergy.2020.115050] | 2. The Canopy Horizontal Array Turbulence Study (Bulletin of the American Meteorological Society, 2010) [DOI: https://doi.org/10.1175/2010bams2614.1]</t>
        </is>
      </c>
      <c r="X12" s="3">
        <f>HYPERLINK("https://doi.org/10.1016/j.apenergy.2020.115050 | https://doi.org/10.1175/2010bams2614.1", "https://doi.org/10.1016/j.apenergy.2020.115050 | https://doi.org/10.1175/2010bams2614.1")</f>
        <v/>
      </c>
      <c r="Y12" s="2" t="inlineStr">
        <is>
          <t>executing mesoscale wake simulations with hub height variation across dense wind turbine arrays, demonstrating that alternating hub heights mitigates downstream wake interference and recovers up to 12% in farm-level annual energy production.</t>
        </is>
      </c>
      <c r="Z12" s="2" t="inlineStr"/>
      <c r="AA12" s="2" t="inlineStr"/>
      <c r="AB12" s="2" t="inlineStr">
        <is>
          <t>"The Canopy Horizontal Array Turbulence Study" [Bulletin of the American Meteorological Society] (2010, 128 cites) [DOI: https://doi.org/10.1175/2010bams2614.1] | "Scopes and Challenges of Dual-Doppler Lidar Wind Measurements—An Error Analysis" [Journal of Atmospheric and Oceanic Technology] (2013, 114 cites) [DOI: https://doi.org/10.1175/jtech-d-12-00244.1] | "Turbulent flow over a wavy surface: Neutral case" [Journal of Geophysical Research Atmospheres] (2001, 85 cites) [DOI: https://doi.org/10.1029/2000jc900133]</t>
        </is>
      </c>
      <c r="AC12" s="2" t="inlineStr">
        <is>
          <t>MAE 579: Wind Energy | MAE 242: Intro to Fluid Mechanics | MAE 593: Applied Project</t>
        </is>
      </c>
      <c r="AD12" s="2" t="inlineStr"/>
      <c r="AE12" s="2" t="inlineStr"/>
      <c r="AF12" s="2" t="inlineStr">
        <is>
          <t>Wind and Air Flow Studies (30) | Meteorological Phenomena and Simulations (27) | Fluid Dynamics and Turbulent Flows (13)</t>
        </is>
      </c>
      <c r="AG12" s="2" t="inlineStr">
        <is>
          <t>Wind and Air Flow Studies (30) | Meteorological Phenomena and Simulations (27) | Fluid Dynamics and Turbulent Flows (13)</t>
        </is>
      </c>
      <c r="AH12" s="2" t="inlineStr"/>
      <c r="AI12" s="2" t="inlineStr"/>
      <c r="AJ12" s="2" t="inlineStr">
        <is>
          <t>Calhoun’s research interests are in fluid dynamics; atmospheric sciences; boundary layer; wind energy and remote sensing.</t>
        </is>
      </c>
      <c r="AK12" s="2" t="inlineStr">
        <is>
          <t>Ph.D. Civil and Environmental Engineering, Stanford University 1998 | Engineer. Civil and Environmental Engineering, Stanford University 1993 | M.S. Civil and Environmental Engineering, Stanford University 1992 | B.S. Symbolic Systems, Stanford University 1989</t>
        </is>
      </c>
      <c r="AL12" s="2" t="inlineStr">
        <is>
          <t>Wind Energy and Atmospheric Boundary Layer Lab</t>
        </is>
      </c>
      <c r="AM12" s="3">
        <f>HYPERLINK("https://windlab.engineering.asu.edu/ronald-calhoun/", "https://windlab.engineering.asu.edu/ronald-calhoun/")</f>
        <v/>
      </c>
      <c r="AN12" s="2" t="inlineStr"/>
      <c r="AO12" s="2" t="inlineStr"/>
      <c r="AP12" s="2" t="inlineStr"/>
      <c r="AQ12" s="2" t="inlineStr"/>
      <c r="AR12" s="2" t="inlineStr"/>
      <c r="AS12" s="2" t="inlineStr"/>
      <c r="AT12" s="2" t="inlineStr">
        <is>
          <t>Goldwater 466 (TEMPE, AZ 85287-6106)</t>
        </is>
      </c>
      <c r="AU12" s="2" t="b">
        <v>1</v>
      </c>
      <c r="AV12" s="3">
        <f>HYPERLINK("https://faculty.engineering.asu.edu/directory/semte/aerospace-and-mechanical-engineering/", "https://faculty.engineering.asu.edu/directory/semte/aerospace-and-mechanical-engineering/")</f>
        <v/>
      </c>
    </row>
    <row r="13">
      <c r="A13" s="2" t="inlineStr">
        <is>
          <t>Liping Wang</t>
        </is>
      </c>
      <c r="B13" s="2" t="inlineStr">
        <is>
          <t>Arizona State University</t>
        </is>
      </c>
      <c r="C13" s="3">
        <f>HYPERLINK("https://search.asu.edu/profile/lwang78", "https://search.asu.edu/profile/lwang78")</f>
        <v/>
      </c>
      <c r="D13" s="3">
        <f>HYPERLINK("https://scholar.google.com/citations?view_op=search_authors&amp;mauthors=Liping%20Wang%20Arizona%20State%20University", "Google Scholar Search")</f>
        <v/>
      </c>
      <c r="E13" s="2" t="inlineStr">
        <is>
          <t>Associate Professor</t>
        </is>
      </c>
      <c r="F13" s="2" t="inlineStr">
        <is>
          <t>Aerospace &amp; Mechanical Engineering</t>
        </is>
      </c>
      <c r="G13" s="2" t="inlineStr"/>
      <c r="H13" s="3">
        <f>HYPERLINK("mailto:Liping.Wang@asu.edu", "Liping.Wang@asu.edu")</f>
        <v/>
      </c>
      <c r="I13" s="2" t="n">
        <v>2</v>
      </c>
      <c r="J13" s="2" t="inlineStr">
        <is>
          <t>🟡 Tier 2: Thermal / Heat Transfer / Energy</t>
        </is>
      </c>
      <c r="K13" s="2" t="n">
        <v>7</v>
      </c>
      <c r="L13" s="2" t="inlineStr">
        <is>
          <t>aerospace, guidance, heat transfer, materials, metamaterials, radiation, thermal</t>
        </is>
      </c>
      <c r="M13" s="2" t="inlineStr"/>
      <c r="N13" s="2" t="inlineStr"/>
      <c r="O13" s="2" t="inlineStr"/>
      <c r="P13" s="2" t="inlineStr"/>
      <c r="Q13" s="2" t="inlineStr"/>
      <c r="R13" s="2" t="inlineStr"/>
      <c r="S13" s="2" t="inlineStr"/>
      <c r="T13" s="2" t="inlineStr"/>
      <c r="U13" s="2" t="inlineStr"/>
      <c r="V13" s="2" t="inlineStr"/>
      <c r="W13" s="2" t="inlineStr"/>
      <c r="X13" s="2" t="inlineStr"/>
      <c r="Y13" s="2" t="inlineStr"/>
      <c r="Z13" s="2" t="inlineStr">
        <is>
          <t>One PhD position available for Fall 2024 on AFM based near-field thermal measurement! ($32k/year stipend + tuition + benefit)</t>
        </is>
      </c>
      <c r="AA13" s="2" t="inlineStr"/>
      <c r="AB13" s="2" t="inlineStr"/>
      <c r="AC13" s="2" t="inlineStr">
        <is>
          <t>MAE 584: Internship | MAE 593: Applied Project | MAE 241: Intro to Thermodynamics</t>
        </is>
      </c>
      <c r="AD13" s="2" t="inlineStr">
        <is>
          <t>2017         AFOSR Young Investigator (YIP) Award,  ASU | 2016         JQSRT/Elsevier Viskanta Young Scientist Award,  ASU</t>
        </is>
      </c>
      <c r="AE13" s="2" t="inlineStr">
        <is>
          <t>Please send your CV to Prof. Wang ( [email protected] ). We will try to get back to you ASAP with possible available positions. Please also send a 2-page statement on describing your previous research experience as well as how your research interests match Prof. Wang’s group’s research themes. | Please send Prof. Wang ( [email protected] ) with your resumes for applications and for more details on the projects.</t>
        </is>
      </c>
      <c r="AF13" s="2" t="inlineStr"/>
      <c r="AG13" s="2" t="inlineStr"/>
      <c r="AH1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AI13" s="2" t="inlineStr"/>
      <c r="AJ13" s="2" t="inlineStr">
        <is>
          <t>Wang research interests include selective control of thermal emission/absorption using meta-materials for energy harvesting and near-field radiation heat transfer enhancement between meta-materials for thermophotovoltaics.</t>
        </is>
      </c>
      <c r="AK1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AL13" s="2" t="inlineStr">
        <is>
          <t>Nanoscale Thermal Radiation Lab</t>
        </is>
      </c>
      <c r="AM13" s="3">
        <f>HYPERLINK("http://faculty.engineering.asu.edu/lpwang", "http://faculty.engineering.asu.edu/lpwang")</f>
        <v/>
      </c>
      <c r="AN13" s="2" t="inlineStr">
        <is>
          <t>Multiple UG/MS research positions available for Fall 2024 (volunteer) and Spring/Summer 2025 (possible FURI / MORE support)</t>
        </is>
      </c>
      <c r="AO13" s="2" t="inlineStr"/>
      <c r="AP13" s="2" t="inlineStr">
        <is>
          <t>AFM</t>
        </is>
      </c>
      <c r="AQ13" s="2" t="inlineStr">
        <is>
          <t>NASA, NSF</t>
        </is>
      </c>
      <c r="AR13" s="2" t="inlineStr"/>
      <c r="AS13" s="2" t="inlineStr">
        <is>
          <t>News&amp;Awards</t>
        </is>
      </c>
      <c r="AT13" s="2" t="inlineStr">
        <is>
          <t>ENGRC 327 (Tempe, AZ 85287-6106)</t>
        </is>
      </c>
      <c r="AU13" s="2" t="b">
        <v>1</v>
      </c>
      <c r="AV13" s="3">
        <f>HYPERLINK("https://faculty.engineering.asu.edu/directory/semte/aerospace-and-mechanical-engineering/", "https://faculty.engineering.asu.edu/directory/semte/aerospace-and-mechanical-engineering/")</f>
        <v/>
      </c>
    </row>
    <row r="14">
      <c r="A14" s="2" t="inlineStr">
        <is>
          <t>Robert Wang</t>
        </is>
      </c>
      <c r="B14" s="2" t="inlineStr">
        <is>
          <t>Arizona State University</t>
        </is>
      </c>
      <c r="C14" s="3">
        <f>HYPERLINK("https://search.asu.edu/profile/rywang", "https://search.asu.edu/profile/rywang")</f>
        <v/>
      </c>
      <c r="D14" s="3">
        <f>HYPERLINK("https://scholar.google.com/citations?hl=en&amp;user=LaUdx9gAAAAJ", "Scholar (LaUdx9gAAAAJ)")</f>
        <v/>
      </c>
      <c r="E14" s="2" t="inlineStr">
        <is>
          <t>Associate Professor</t>
        </is>
      </c>
      <c r="F14" s="2" t="inlineStr">
        <is>
          <t>Aerospace &amp; Mechanical Engineering</t>
        </is>
      </c>
      <c r="G14" s="2" t="inlineStr">
        <is>
          <t>LaUdx9gAAAAJ</t>
        </is>
      </c>
      <c r="H14" s="3">
        <f>HYPERLINK("mailto:rywang@asu.edu", "rywang@asu.edu")</f>
        <v/>
      </c>
      <c r="I14" s="2" t="n">
        <v>2</v>
      </c>
      <c r="J14" s="2" t="inlineStr">
        <is>
          <t>🟡 Tier 2: Thermal / Heat Transfer / Energy</t>
        </is>
      </c>
      <c r="K14" s="2" t="n">
        <v>4</v>
      </c>
      <c r="L14" s="2" t="inlineStr">
        <is>
          <t>composites, heat transfer, materials, thermal</t>
        </is>
      </c>
      <c r="M14" s="2" t="inlineStr"/>
      <c r="N14" s="2" t="inlineStr"/>
      <c r="O14" s="2" t="inlineStr"/>
      <c r="P14" s="2" t="inlineStr"/>
      <c r="Q14" s="2" t="inlineStr"/>
      <c r="R14" s="2" t="inlineStr"/>
      <c r="S14" s="2" t="inlineStr"/>
      <c r="T14" s="2" t="inlineStr"/>
      <c r="U14" s="2" t="inlineStr"/>
      <c r="V14" s="2" t="inlineStr"/>
      <c r="W14" s="2" t="inlineStr"/>
      <c r="X14" s="2" t="inlineStr"/>
      <c r="Y14" s="2" t="inlineStr"/>
      <c r="Z14" s="2" t="inlineStr"/>
      <c r="AA14" s="2" t="inlineStr"/>
      <c r="AB14" s="2" t="inlineStr"/>
      <c r="AC14" s="2" t="inlineStr">
        <is>
          <t>MAE 241: Intro to Thermodynamics | MAE 593: Applied Project | MAE 588: Nanoscale Heat Transfer</t>
        </is>
      </c>
      <c r="AD14" s="2" t="inlineStr"/>
      <c r="AE14" s="2" t="inlineStr"/>
      <c r="AF14" s="2" t="inlineStr"/>
      <c r="AG14" s="2" t="inlineStr"/>
      <c r="AH14"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AI14"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AJ14" s="2" t="inlineStr">
        <is>
          <t>Wang's research interests include thermal energy conversion, storage, and transport in nanostructured materials; thermoelectric power generation; thermal storage media; heat transfer, and phonon optics</t>
        </is>
      </c>
      <c r="AK14" s="2" t="inlineStr">
        <is>
          <t>Ph.D. Mechanical Engineering, University of California-Berkeley 2008 | M.S. Mechanical Engineering, University of California-Berkeley 2005 | B.S. Mechanical Engineering, University of California-Los Angeles 2003</t>
        </is>
      </c>
      <c r="AL14" s="2" t="inlineStr"/>
      <c r="AM14" s="3">
        <f>HYPERLINK("http://wang.faculty.asu.edu/", "http://wang.faculty.asu.edu/")</f>
        <v/>
      </c>
      <c r="AN14" s="2" t="inlineStr"/>
      <c r="AO14" s="2" t="inlineStr"/>
      <c r="AP14" s="2" t="inlineStr"/>
      <c r="AQ14" s="2" t="inlineStr"/>
      <c r="AR14" s="2" t="inlineStr"/>
      <c r="AS14" s="2" t="inlineStr"/>
      <c r="AT14" s="2" t="inlineStr">
        <is>
          <t>ENGRC 307 (Tempe, AZ 85287-6106)</t>
        </is>
      </c>
      <c r="AU14" s="2" t="b">
        <v>1</v>
      </c>
      <c r="AV14" s="3">
        <f>HYPERLINK("https://faculty.engineering.asu.edu/directory/semte/aerospace-and-mechanical-engineering/", "https://faculty.engineering.asu.edu/directory/semte/aerospace-and-mechanical-engineering/")</f>
        <v/>
      </c>
    </row>
    <row r="15">
      <c r="A15" s="2" t="inlineStr">
        <is>
          <t>T.-W. Lee</t>
        </is>
      </c>
      <c r="B15" s="2" t="inlineStr">
        <is>
          <t>Arizona State University</t>
        </is>
      </c>
      <c r="C15" s="3">
        <f>HYPERLINK("https://search.asu.edu/profile/attwl", "https://search.asu.edu/profile/attwl")</f>
        <v/>
      </c>
      <c r="D15" s="3">
        <f>HYPERLINK("https://scholar.google.com/citations?view_op=search_authors&amp;mauthors=T.-W.%20Lee%20Arizona%20State%20University", "Google Scholar Search")</f>
        <v/>
      </c>
      <c r="E15" s="2" t="inlineStr">
        <is>
          <t>Associate Professor</t>
        </is>
      </c>
      <c r="F15" s="2" t="inlineStr">
        <is>
          <t>Aerospace &amp; Mechanical Engineering</t>
        </is>
      </c>
      <c r="G15" s="2" t="inlineStr"/>
      <c r="H15" s="3">
        <f>HYPERLINK("mailto:ATTWL@asu.edu", "ATTWL@asu.edu")</f>
        <v/>
      </c>
      <c r="I15" s="2" t="n">
        <v>2</v>
      </c>
      <c r="J15" s="2" t="inlineStr">
        <is>
          <t>🟡 Tier 2: Thermal / Heat Transfer / Energy</t>
        </is>
      </c>
      <c r="K15" s="2" t="n">
        <v>4</v>
      </c>
      <c r="L15" s="2" t="inlineStr">
        <is>
          <t>aerospace, energy systems, propulsion, thermal</t>
        </is>
      </c>
      <c r="M15" s="2" t="inlineStr"/>
      <c r="N15" s="2" t="inlineStr"/>
      <c r="O15" s="2" t="inlineStr"/>
      <c r="P15" s="2" t="inlineStr"/>
      <c r="Q15" s="2" t="inlineStr"/>
      <c r="R15" s="2" t="inlineStr"/>
      <c r="S15" s="2" t="inlineStr"/>
      <c r="T15" s="2" t="inlineStr"/>
      <c r="U15" s="2" t="inlineStr"/>
      <c r="V15" s="2" t="inlineStr"/>
      <c r="W15" s="2" t="inlineStr"/>
      <c r="X15" s="2" t="inlineStr"/>
      <c r="Y15" s="2" t="inlineStr"/>
      <c r="Z15" s="2" t="inlineStr">
        <is>
          <t>N Hegde, Taewoo Lee. Laser-induced breakdown spectroscopy for in situ diagnostics of combustion parameters including tem</t>
        </is>
      </c>
      <c r="AA15" s="2" t="inlineStr"/>
      <c r="AB15" s="2" t="inlineStr"/>
      <c r="AC15" s="2" t="inlineStr">
        <is>
          <t>MAE 565: Rocket Propulsion | MAE 593: Applied Project | MAE 570: Intermediate Thermodynamics</t>
        </is>
      </c>
      <c r="AD15" s="2" t="inlineStr"/>
      <c r="AE15" s="2" t="inlineStr"/>
      <c r="AF15" s="2" t="inlineStr"/>
      <c r="AG15" s="2" t="inlineStr"/>
      <c r="AH15" s="2" t="inlineStr"/>
      <c r="AI15" s="2" t="inlineStr"/>
      <c r="AJ15" s="2" t="inlineStr">
        <is>
          <t>Lee's areas of expertise include energy system analysis, thermal and fluid process characterization, and fuel property measurements for energy systems.</t>
        </is>
      </c>
      <c r="AK15" s="2" t="inlineStr">
        <is>
          <t>Ph.D. Aerospace Engineering, University of Michigan-Ann Arbor | M.S.E. Aerospace Engineering, University of Michigan-Ann Arbor | B.S. Aeronautical and Astronautical Engineering, The Ohio State University-Columbus</t>
        </is>
      </c>
      <c r="AL15" s="2" t="inlineStr"/>
      <c r="AM15" s="2" t="inlineStr"/>
      <c r="AN15" s="2" t="inlineStr"/>
      <c r="AO15" s="2" t="inlineStr"/>
      <c r="AP15" s="2" t="inlineStr"/>
      <c r="AQ15" s="2" t="inlineStr"/>
      <c r="AR15" s="2" t="inlineStr"/>
      <c r="AS15" s="2" t="inlineStr"/>
      <c r="AT15" s="2" t="inlineStr">
        <is>
          <t>ENGRC 377 (TEMPE, AZ 85287-6106)</t>
        </is>
      </c>
      <c r="AU15" s="2" t="b">
        <v>1</v>
      </c>
      <c r="AV15" s="3">
        <f>HYPERLINK("https://faculty.engineering.asu.edu/directory/semte/aerospace-and-mechanical-engineering/", "https://faculty.engineering.asu.edu/directory/semte/aerospace-and-mechanical-engineering/")</f>
        <v/>
      </c>
    </row>
    <row r="16">
      <c r="A16" s="2" t="inlineStr">
        <is>
          <t>Tianyu Yang</t>
        </is>
      </c>
      <c r="B16" s="2" t="inlineStr">
        <is>
          <t>Arizona State University</t>
        </is>
      </c>
      <c r="C16" s="3">
        <f>HYPERLINK("https://search.asu.edu/profile/tyang123", "https://search.asu.edu/profile/tyang123")</f>
        <v/>
      </c>
      <c r="D16" s="3">
        <f>HYPERLINK("https://scholar.google.com/citations?hl=en&amp;user=OmBV67MAAAAJ", "Scholar (OmBV67MAAAAJ)")</f>
        <v/>
      </c>
      <c r="E16" s="2" t="inlineStr">
        <is>
          <t>Assistant Professor</t>
        </is>
      </c>
      <c r="F16" s="2" t="inlineStr">
        <is>
          <t>Aerospace &amp; Mechanical Engineering</t>
        </is>
      </c>
      <c r="G16" s="2" t="inlineStr">
        <is>
          <t>OmBV67MAAAAJ</t>
        </is>
      </c>
      <c r="H16" s="3">
        <f>HYPERLINK("mailto:Tianyu.Yang@asu.edu", "Tianyu.Yang@asu.edu")</f>
        <v/>
      </c>
      <c r="I16" s="2" t="n">
        <v>2</v>
      </c>
      <c r="J16" s="2" t="inlineStr">
        <is>
          <t>🟡 Tier 2: Thermal / Heat Transfer / Energy</t>
        </is>
      </c>
      <c r="K16" s="2" t="n">
        <v>4</v>
      </c>
      <c r="L16" s="2" t="inlineStr">
        <is>
          <t>autonomous, heat transfer, materials, thermal</t>
        </is>
      </c>
      <c r="M16" s="2" t="inlineStr"/>
      <c r="N16" s="2" t="inlineStr"/>
      <c r="O16" s="2" t="inlineStr"/>
      <c r="P16" s="2" t="inlineStr"/>
      <c r="Q16" s="2" t="inlineStr"/>
      <c r="R16" s="2" t="inlineStr"/>
      <c r="S16" s="2" t="inlineStr"/>
      <c r="T16" s="2" t="inlineStr"/>
      <c r="U16" s="2" t="inlineStr"/>
      <c r="V16" s="2" t="inlineStr"/>
      <c r="W16" s="2" t="inlineStr"/>
      <c r="X16" s="2" t="inlineStr"/>
      <c r="Y16" s="2" t="inlineStr"/>
      <c r="Z16" s="2" t="inlineStr"/>
      <c r="AA16" s="2" t="inlineStr"/>
      <c r="AB16" s="2" t="inlineStr"/>
      <c r="AC16" s="2" t="inlineStr">
        <is>
          <t>MAE 241: Intro to Thermodynamics</t>
        </is>
      </c>
      <c r="AD16" s="2" t="inlineStr"/>
      <c r="AE16" s="2" t="inlineStr"/>
      <c r="AF16" s="2" t="inlineStr"/>
      <c r="AG16" s="2" t="inlineStr"/>
      <c r="AH16" s="2" t="inlineStr"/>
      <c r="AI16" s="2" t="inlineStr"/>
      <c r="AJ16" s="2" t="inlineStr">
        <is>
          <t>Yang studies heat transfer, thermal management of electronics, and biomedical devices. She has published multiple research papers in major scientific journals.</t>
        </is>
      </c>
      <c r="AK16" s="2" t="inlineStr">
        <is>
          <t>PhD. University of Illinois at Urbana Champaign, 2016-2021 | BS. Tsinghua University, China 2012-2016</t>
        </is>
      </c>
      <c r="AL16" s="2" t="inlineStr"/>
      <c r="AM16" s="2" t="inlineStr"/>
      <c r="AN16" s="2" t="inlineStr"/>
      <c r="AO16" s="2" t="inlineStr"/>
      <c r="AP16" s="2" t="inlineStr"/>
      <c r="AQ16" s="2" t="inlineStr"/>
      <c r="AR16" s="2" t="inlineStr"/>
      <c r="AS16" s="2" t="inlineStr"/>
      <c r="AT16" s="2" t="inlineStr">
        <is>
          <t>Campus: Tempe</t>
        </is>
      </c>
      <c r="AU16" s="2" t="b">
        <v>1</v>
      </c>
      <c r="AV16" s="3">
        <f>HYPERLINK("https://faculty.engineering.asu.edu/directory/semte/aerospace-and-mechanical-engineering/", "https://faculty.engineering.asu.edu/directory/semte/aerospace-and-mechanical-engineering/")</f>
        <v/>
      </c>
    </row>
    <row r="17">
      <c r="A17" s="2" t="inlineStr">
        <is>
          <t>Beomjin Kwon</t>
        </is>
      </c>
      <c r="B17" s="2" t="inlineStr">
        <is>
          <t>Arizona State University</t>
        </is>
      </c>
      <c r="C17" s="3">
        <f>HYPERLINK("https://search.asu.edu/profile/bkwon2", "https://search.asu.edu/profile/bkwon2")</f>
        <v/>
      </c>
      <c r="D17" s="3">
        <f>HYPERLINK("https://scholar.google.com/citations?hl=en&amp;user=fs2d97sAAAAJ", "Scholar (fs2d97sAAAAJ)")</f>
        <v/>
      </c>
      <c r="E17" s="2" t="inlineStr">
        <is>
          <t>Associate Professor</t>
        </is>
      </c>
      <c r="F17" s="2" t="inlineStr">
        <is>
          <t>Aerospace &amp; Mechanical Engineering</t>
        </is>
      </c>
      <c r="G17" s="2" t="inlineStr">
        <is>
          <t>fs2d97sAAAAJ</t>
        </is>
      </c>
      <c r="H17" s="3">
        <f>HYPERLINK("mailto:kwon@asu.edu", "kwon@asu.edu")</f>
        <v/>
      </c>
      <c r="I17" s="2" t="n">
        <v>2</v>
      </c>
      <c r="J17" s="2" t="inlineStr">
        <is>
          <t>🟡 Tier 2: Thermal / Heat Transfer / Energy</t>
        </is>
      </c>
      <c r="K17" s="2" t="n">
        <v>3</v>
      </c>
      <c r="L17" s="2" t="inlineStr">
        <is>
          <t>aerospace, energy systems, heat transfer</t>
        </is>
      </c>
      <c r="M17" s="2" t="inlineStr"/>
      <c r="N17" s="2" t="inlineStr"/>
      <c r="O17" s="2" t="inlineStr"/>
      <c r="P17" s="2" t="inlineStr"/>
      <c r="Q17" s="2" t="inlineStr"/>
      <c r="R17" s="2" t="inlineStr"/>
      <c r="S17" s="2" t="inlineStr"/>
      <c r="T17" s="2" t="inlineStr"/>
      <c r="U17" s="2" t="inlineStr"/>
      <c r="V17" s="2" t="inlineStr"/>
      <c r="W17" s="2" t="inlineStr"/>
      <c r="X17" s="2" t="inlineStr"/>
      <c r="Y17" s="2" t="inlineStr"/>
      <c r="Z17" s="2" t="inlineStr">
        <is>
          <t>Journal Papers 62. N. Ohashi, J. Deng, L.K. Hwang, P.K. Kang, and B. Kwon, “Physics-Informed Machine Learning for Reconstructin...</t>
        </is>
      </c>
      <c r="AA17" s="2" t="inlineStr"/>
      <c r="AB17" s="2" t="inlineStr"/>
      <c r="AC17" s="2" t="inlineStr">
        <is>
          <t>MAE 593: Applied Project | MAE 241: Intro to Thermodynamics | MAE 598: Special Topics</t>
        </is>
      </c>
      <c r="AD17" s="2" t="inlineStr"/>
      <c r="AE17" s="2" t="inlineStr"/>
      <c r="AF17" s="2" t="inlineStr"/>
      <c r="AG17" s="2" t="inlineStr"/>
      <c r="AH17" s="2" t="inlineStr">
        <is>
          <t>Transport phenomena in heat transfer systems Additive manufacturing Data-driven modeling and design</t>
        </is>
      </c>
      <c r="AI17" s="2" t="inlineStr"/>
      <c r="AJ17" s="2" t="inlineStr">
        <is>
          <t>Kwon aims to improve the energy conversion and transport systems through the fundamental insights into transport physics, and by exploiting additive manufacturing and data-driven approaches.</t>
        </is>
      </c>
      <c r="AK17" s="2" t="inlineStr">
        <is>
          <t>Ph.D. Mechanical Engineering, University of Illinois at Urbana-Champaign 2013 | M.S. Mechanical Engineering, University of Illinois at Urbana-Champaign 2009 | B.S. Mechanical and Aerospace Engineering, Seoul National University 2008</t>
        </is>
      </c>
      <c r="AL17" s="2" t="inlineStr">
        <is>
          <t>3D Energy Lab</t>
        </is>
      </c>
      <c r="AM17" s="3">
        <f>HYPERLINK("http://sites.google.com/view/3denergy", "http://sites.google.com/view/3denergy")</f>
        <v/>
      </c>
      <c r="AN17" s="2" t="inlineStr"/>
      <c r="AO17" s="2" t="inlineStr"/>
      <c r="AP17" s="2" t="inlineStr">
        <is>
          <t>3D Printer</t>
        </is>
      </c>
      <c r="AQ17" s="2" t="inlineStr">
        <is>
          <t>NSF</t>
        </is>
      </c>
      <c r="AR17" s="2" t="inlineStr"/>
      <c r="AS17" s="2" t="inlineStr">
        <is>
          <t>3D Energy Device Laboratory</t>
        </is>
      </c>
      <c r="AT17" s="2" t="inlineStr">
        <is>
          <t>551 E Tyler Mall ERC 363 (Tempe, AZ 85281)</t>
        </is>
      </c>
      <c r="AU17" s="2" t="b">
        <v>1</v>
      </c>
      <c r="AV17" s="3">
        <f>HYPERLINK("https://faculty.engineering.asu.edu/directory/semte/aerospace-and-mechanical-engineering/", "https://faculty.engineering.asu.edu/directory/semte/aerospace-and-mechanical-engineering/")</f>
        <v/>
      </c>
    </row>
    <row r="18">
      <c r="A18" s="2" t="inlineStr">
        <is>
          <t>Patrick Phelan</t>
        </is>
      </c>
      <c r="B18" s="2" t="inlineStr">
        <is>
          <t>Arizona State University</t>
        </is>
      </c>
      <c r="C18" s="3">
        <f>HYPERLINK("https://search.asu.edu/profile/pphelan", "https://search.asu.edu/profile/pphelan")</f>
        <v/>
      </c>
      <c r="D18" s="3">
        <f>HYPERLINK("https://scholar.google.com/citations?view_op=search_authors&amp;mauthors=Patrick%20Phelan%20Arizona%20State%20University", "Google Scholar Search")</f>
        <v/>
      </c>
      <c r="E18" s="2" t="inlineStr">
        <is>
          <t>Professor</t>
        </is>
      </c>
      <c r="F18" s="2" t="inlineStr">
        <is>
          <t>Aerospace &amp; Mechanical Engineering</t>
        </is>
      </c>
      <c r="G18" s="2" t="inlineStr"/>
      <c r="H18" s="3">
        <f>HYPERLINK("mailto:phelan@asu.edu", "phelan@asu.edu")</f>
        <v/>
      </c>
      <c r="I18" s="2" t="n">
        <v>2</v>
      </c>
      <c r="J18" s="2" t="inlineStr">
        <is>
          <t>🟡 Tier 2: Thermal / Heat Transfer / Energy</t>
        </is>
      </c>
      <c r="K18" s="2" t="n">
        <v>3</v>
      </c>
      <c r="L18" s="2" t="inlineStr">
        <is>
          <t>aerospace, energy systems, thermal</t>
        </is>
      </c>
      <c r="M18" s="2" t="inlineStr"/>
      <c r="N18" s="2" t="inlineStr"/>
      <c r="O18" s="2" t="inlineStr"/>
      <c r="P18" s="2" t="inlineStr"/>
      <c r="Q18" s="2" t="inlineStr"/>
      <c r="R18" s="2" t="inlineStr"/>
      <c r="S18" s="2" t="inlineStr"/>
      <c r="T18" s="2" t="inlineStr"/>
      <c r="U18" s="2" t="inlineStr"/>
      <c r="V18" s="2" t="inlineStr"/>
      <c r="W18" s="2" t="inlineStr"/>
      <c r="X18" s="2" t="inlineStr"/>
      <c r="Y18" s="2" t="inlineStr"/>
      <c r="Z18" s="2" t="inlineStr">
        <is>
          <t>Please see my publications at Google Scholar .</t>
        </is>
      </c>
      <c r="AA18" s="2" t="inlineStr"/>
      <c r="AB18" s="2" t="inlineStr"/>
      <c r="AC18" s="2" t="inlineStr">
        <is>
          <t>MAE 593: Applied Project | MAE 494: Special Topics | MAE 598: Special Topics</t>
        </is>
      </c>
      <c r="AD18" s="2" t="inlineStr"/>
      <c r="AE18" s="2" t="inlineStr"/>
      <c r="AF18" s="2" t="inlineStr"/>
      <c r="AG18" s="2" t="inlineStr"/>
      <c r="AH18" s="2" t="inlineStr">
        <is>
          <t>Thermal engineering, sustainable energy systems, energy management, sustainable cooling systems.</t>
        </is>
      </c>
      <c r="AI18" s="2" t="inlineStr">
        <is>
          <t>Building Technology, Solar Energy Systems, Energy Efficiency Technologies, Mechanical Engineering</t>
        </is>
      </c>
      <c r="AJ18" s="2" t="inlineStr">
        <is>
          <t>Phelan researches and teaches in the area of sustainable energy, thermal transport and thermal management.</t>
        </is>
      </c>
      <c r="AK18"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AL18" s="2" t="inlineStr"/>
      <c r="AM18" s="2" t="inlineStr"/>
      <c r="AN18" s="2" t="inlineStr"/>
      <c r="AO18" s="2" t="inlineStr"/>
      <c r="AP18" s="2" t="inlineStr"/>
      <c r="AQ18" s="2" t="inlineStr"/>
      <c r="AR18" s="2" t="inlineStr"/>
      <c r="AS18" s="2" t="inlineStr"/>
      <c r="AT18" s="2" t="inlineStr">
        <is>
          <t>ENGRC 463 (TEMPE, AZ 85287-6106)</t>
        </is>
      </c>
      <c r="AU18" s="2" t="b">
        <v>1</v>
      </c>
      <c r="AV18" s="3">
        <f>HYPERLINK("https://faculty.engineering.asu.edu/directory/semte/aerospace-and-mechanical-engineering/", "https://faculty.engineering.asu.edu/directory/semte/aerospace-and-mechanical-engineering/")</f>
        <v/>
      </c>
    </row>
    <row r="19">
      <c r="A19" s="2" t="inlineStr">
        <is>
          <t>Konrad Rykaczewski</t>
        </is>
      </c>
      <c r="B19" s="2" t="inlineStr">
        <is>
          <t>Arizona State University</t>
        </is>
      </c>
      <c r="C19" s="3">
        <f>HYPERLINK("https://search.asu.edu/profile/krykacze", "https://search.asu.edu/profile/krykacze")</f>
        <v/>
      </c>
      <c r="D19" s="3">
        <f>HYPERLINK("https://scholar.google.com/citations?hl=en&amp;user=SWeAf4UAAAAJ", "Scholar (SWeAf4UAAAAJ)")</f>
        <v/>
      </c>
      <c r="E19" s="2" t="inlineStr">
        <is>
          <t>Associate Professor</t>
        </is>
      </c>
      <c r="F19" s="2" t="inlineStr">
        <is>
          <t>Aerospace &amp; Mechanical Engineering</t>
        </is>
      </c>
      <c r="G19" s="2" t="inlineStr">
        <is>
          <t>SWeAf4UAAAAJ</t>
        </is>
      </c>
      <c r="H19" s="3">
        <f>HYPERLINK("mailto:konradr@asu.edu", "konradr@asu.edu")</f>
        <v/>
      </c>
      <c r="I19" s="2" t="n">
        <v>2</v>
      </c>
      <c r="J19" s="2" t="inlineStr">
        <is>
          <t>🟡 Tier 2: Thermal / Heat Transfer / Energy</t>
        </is>
      </c>
      <c r="K19" s="2" t="n">
        <v>2</v>
      </c>
      <c r="L19" s="2" t="inlineStr">
        <is>
          <t>materials, thermal</t>
        </is>
      </c>
      <c r="M19" s="2" t="inlineStr"/>
      <c r="N19" s="2" t="inlineStr"/>
      <c r="O19" s="2" t="inlineStr"/>
      <c r="P19" s="2" t="inlineStr"/>
      <c r="Q19" s="2" t="inlineStr"/>
      <c r="R19" s="2" t="inlineStr"/>
      <c r="S19" s="2" t="inlineStr"/>
      <c r="T19" s="2" t="inlineStr"/>
      <c r="U19" s="2" t="inlineStr"/>
      <c r="V19" s="2" t="inlineStr"/>
      <c r="W19" s="2" t="inlineStr"/>
      <c r="X19" s="2" t="inlineStr"/>
      <c r="Y19" s="2" t="inlineStr"/>
      <c r="Z19" s="2" t="inlineStr"/>
      <c r="AA19" s="2" t="inlineStr"/>
      <c r="AB19" s="2" t="inlineStr"/>
      <c r="AC19" s="2" t="inlineStr">
        <is>
          <t>MAE 593: Applied Project | MAE 499: Individualized Instruction | MAE 586: Advanced Heat Transfer</t>
        </is>
      </c>
      <c r="AD19" s="2" t="inlineStr"/>
      <c r="AE19" s="2" t="inlineStr"/>
      <c r="AF19" s="2" t="inlineStr"/>
      <c r="AG19" s="2" t="inlineStr"/>
      <c r="AH19" s="2" t="inlineStr"/>
      <c r="AI19" s="2" t="inlineStr"/>
      <c r="AJ19" s="2" t="inlineStr">
        <is>
          <t>Rykaczewski's research focuses on development of soft thermal materials and system as well as studying human thermal exposure in extreme heat.</t>
        </is>
      </c>
      <c r="AK19" s="2" t="inlineStr">
        <is>
          <t>Ph.D. Mechanical Engineering, Georgia Institute of Technology 2009 | M.S. Mechanical Engineering, Georgia Institute of Technology 2007 | B.S. Mechanical Engineering, Georgia Institute of Technology 2005</t>
        </is>
      </c>
      <c r="AL19" s="2" t="inlineStr">
        <is>
          <t>Nano-Bio-Thermal Engineering Laboratory</t>
        </is>
      </c>
      <c r="AM19" s="3">
        <f>HYPERLINK("http://faculty.engineering.asu.edu/konrad/", "http://faculty.engineering.asu.edu/konrad/")</f>
        <v/>
      </c>
      <c r="AN19" s="2" t="inlineStr"/>
      <c r="AO19" s="2" t="inlineStr"/>
      <c r="AP19" s="2" t="inlineStr"/>
      <c r="AQ19" s="2" t="inlineStr"/>
      <c r="AR19" s="2" t="inlineStr"/>
      <c r="AS19" s="2" t="inlineStr">
        <is>
          <t>Rykaczewski Lab</t>
        </is>
      </c>
      <c r="AT19" s="2" t="inlineStr">
        <is>
          <t>ENGRC 309 (Tempe, AZ 85287)</t>
        </is>
      </c>
      <c r="AU19" s="2" t="b">
        <v>1</v>
      </c>
      <c r="AV19"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P2" r:id="rId4"/>
    <hyperlink xmlns:r="http://schemas.openxmlformats.org/officeDocument/2006/relationships" ref="T2" r:id="rId5"/>
    <hyperlink xmlns:r="http://schemas.openxmlformats.org/officeDocument/2006/relationships" ref="X2" r:id="rId6"/>
    <hyperlink xmlns:r="http://schemas.openxmlformats.org/officeDocument/2006/relationships" ref="AM2" r:id="rId7"/>
    <hyperlink xmlns:r="http://schemas.openxmlformats.org/officeDocument/2006/relationships" ref="AR2" r:id="rId8"/>
    <hyperlink xmlns:r="http://schemas.openxmlformats.org/officeDocument/2006/relationships" ref="AV2" r:id="rId9"/>
    <hyperlink xmlns:r="http://schemas.openxmlformats.org/officeDocument/2006/relationships" ref="C3" r:id="rId10"/>
    <hyperlink xmlns:r="http://schemas.openxmlformats.org/officeDocument/2006/relationships" ref="D3" r:id="rId11"/>
    <hyperlink xmlns:r="http://schemas.openxmlformats.org/officeDocument/2006/relationships" ref="H3" r:id="rId12"/>
    <hyperlink xmlns:r="http://schemas.openxmlformats.org/officeDocument/2006/relationships" ref="P3" r:id="rId13"/>
    <hyperlink xmlns:r="http://schemas.openxmlformats.org/officeDocument/2006/relationships" ref="T3" r:id="rId14"/>
    <hyperlink xmlns:r="http://schemas.openxmlformats.org/officeDocument/2006/relationships" ref="X3" r:id="rId15"/>
    <hyperlink xmlns:r="http://schemas.openxmlformats.org/officeDocument/2006/relationships" ref="AV3" r:id="rId16"/>
    <hyperlink xmlns:r="http://schemas.openxmlformats.org/officeDocument/2006/relationships" ref="C4" r:id="rId17"/>
    <hyperlink xmlns:r="http://schemas.openxmlformats.org/officeDocument/2006/relationships" ref="D4" r:id="rId18"/>
    <hyperlink xmlns:r="http://schemas.openxmlformats.org/officeDocument/2006/relationships" ref="H4" r:id="rId19"/>
    <hyperlink xmlns:r="http://schemas.openxmlformats.org/officeDocument/2006/relationships" ref="P4" r:id="rId20"/>
    <hyperlink xmlns:r="http://schemas.openxmlformats.org/officeDocument/2006/relationships" ref="T4" r:id="rId21"/>
    <hyperlink xmlns:r="http://schemas.openxmlformats.org/officeDocument/2006/relationships" ref="X4" r:id="rId22"/>
    <hyperlink xmlns:r="http://schemas.openxmlformats.org/officeDocument/2006/relationships" ref="AV4" r:id="rId23"/>
    <hyperlink xmlns:r="http://schemas.openxmlformats.org/officeDocument/2006/relationships" ref="C5" r:id="rId24"/>
    <hyperlink xmlns:r="http://schemas.openxmlformats.org/officeDocument/2006/relationships" ref="D5" r:id="rId25"/>
    <hyperlink xmlns:r="http://schemas.openxmlformats.org/officeDocument/2006/relationships" ref="H5" r:id="rId26"/>
    <hyperlink xmlns:r="http://schemas.openxmlformats.org/officeDocument/2006/relationships" ref="P5" r:id="rId27"/>
    <hyperlink xmlns:r="http://schemas.openxmlformats.org/officeDocument/2006/relationships" ref="T5" r:id="rId28"/>
    <hyperlink xmlns:r="http://schemas.openxmlformats.org/officeDocument/2006/relationships" ref="X5" r:id="rId29"/>
    <hyperlink xmlns:r="http://schemas.openxmlformats.org/officeDocument/2006/relationships" ref="AM5" r:id="rId30"/>
    <hyperlink xmlns:r="http://schemas.openxmlformats.org/officeDocument/2006/relationships" ref="AV5" r:id="rId31"/>
    <hyperlink xmlns:r="http://schemas.openxmlformats.org/officeDocument/2006/relationships" ref="C6" r:id="rId32"/>
    <hyperlink xmlns:r="http://schemas.openxmlformats.org/officeDocument/2006/relationships" ref="D6" r:id="rId33"/>
    <hyperlink xmlns:r="http://schemas.openxmlformats.org/officeDocument/2006/relationships" ref="H6" r:id="rId34"/>
    <hyperlink xmlns:r="http://schemas.openxmlformats.org/officeDocument/2006/relationships" ref="P6" r:id="rId35"/>
    <hyperlink xmlns:r="http://schemas.openxmlformats.org/officeDocument/2006/relationships" ref="T6" r:id="rId36"/>
    <hyperlink xmlns:r="http://schemas.openxmlformats.org/officeDocument/2006/relationships" ref="X6" r:id="rId37"/>
    <hyperlink xmlns:r="http://schemas.openxmlformats.org/officeDocument/2006/relationships" ref="AM6" r:id="rId38"/>
    <hyperlink xmlns:r="http://schemas.openxmlformats.org/officeDocument/2006/relationships" ref="AV6" r:id="rId39"/>
    <hyperlink xmlns:r="http://schemas.openxmlformats.org/officeDocument/2006/relationships" ref="C7" r:id="rId40"/>
    <hyperlink xmlns:r="http://schemas.openxmlformats.org/officeDocument/2006/relationships" ref="D7" r:id="rId41"/>
    <hyperlink xmlns:r="http://schemas.openxmlformats.org/officeDocument/2006/relationships" ref="H7" r:id="rId42"/>
    <hyperlink xmlns:r="http://schemas.openxmlformats.org/officeDocument/2006/relationships" ref="P7" r:id="rId43"/>
    <hyperlink xmlns:r="http://schemas.openxmlformats.org/officeDocument/2006/relationships" ref="T7" r:id="rId44"/>
    <hyperlink xmlns:r="http://schemas.openxmlformats.org/officeDocument/2006/relationships" ref="X7" r:id="rId45"/>
    <hyperlink xmlns:r="http://schemas.openxmlformats.org/officeDocument/2006/relationships" ref="AV7" r:id="rId46"/>
    <hyperlink xmlns:r="http://schemas.openxmlformats.org/officeDocument/2006/relationships" ref="C8" r:id="rId47"/>
    <hyperlink xmlns:r="http://schemas.openxmlformats.org/officeDocument/2006/relationships" ref="D8" r:id="rId48"/>
    <hyperlink xmlns:r="http://schemas.openxmlformats.org/officeDocument/2006/relationships" ref="H8" r:id="rId49"/>
    <hyperlink xmlns:r="http://schemas.openxmlformats.org/officeDocument/2006/relationships" ref="P8" r:id="rId50"/>
    <hyperlink xmlns:r="http://schemas.openxmlformats.org/officeDocument/2006/relationships" ref="T8" r:id="rId51"/>
    <hyperlink xmlns:r="http://schemas.openxmlformats.org/officeDocument/2006/relationships" ref="X8" r:id="rId52"/>
    <hyperlink xmlns:r="http://schemas.openxmlformats.org/officeDocument/2006/relationships" ref="AV8" r:id="rId53"/>
    <hyperlink xmlns:r="http://schemas.openxmlformats.org/officeDocument/2006/relationships" ref="C9" r:id="rId54"/>
    <hyperlink xmlns:r="http://schemas.openxmlformats.org/officeDocument/2006/relationships" ref="D9" r:id="rId55"/>
    <hyperlink xmlns:r="http://schemas.openxmlformats.org/officeDocument/2006/relationships" ref="H9" r:id="rId56"/>
    <hyperlink xmlns:r="http://schemas.openxmlformats.org/officeDocument/2006/relationships" ref="P9" r:id="rId57"/>
    <hyperlink xmlns:r="http://schemas.openxmlformats.org/officeDocument/2006/relationships" ref="T9" r:id="rId58"/>
    <hyperlink xmlns:r="http://schemas.openxmlformats.org/officeDocument/2006/relationships" ref="X9" r:id="rId59"/>
    <hyperlink xmlns:r="http://schemas.openxmlformats.org/officeDocument/2006/relationships" ref="AM9" r:id="rId60"/>
    <hyperlink xmlns:r="http://schemas.openxmlformats.org/officeDocument/2006/relationships" ref="AV9" r:id="rId61"/>
    <hyperlink xmlns:r="http://schemas.openxmlformats.org/officeDocument/2006/relationships" ref="C10" r:id="rId62"/>
    <hyperlink xmlns:r="http://schemas.openxmlformats.org/officeDocument/2006/relationships" ref="D10" r:id="rId63"/>
    <hyperlink xmlns:r="http://schemas.openxmlformats.org/officeDocument/2006/relationships" ref="H10" r:id="rId64"/>
    <hyperlink xmlns:r="http://schemas.openxmlformats.org/officeDocument/2006/relationships" ref="P10" r:id="rId65"/>
    <hyperlink xmlns:r="http://schemas.openxmlformats.org/officeDocument/2006/relationships" ref="T10" r:id="rId66"/>
    <hyperlink xmlns:r="http://schemas.openxmlformats.org/officeDocument/2006/relationships" ref="X10" r:id="rId67"/>
    <hyperlink xmlns:r="http://schemas.openxmlformats.org/officeDocument/2006/relationships" ref="AV10" r:id="rId68"/>
    <hyperlink xmlns:r="http://schemas.openxmlformats.org/officeDocument/2006/relationships" ref="C11" r:id="rId69"/>
    <hyperlink xmlns:r="http://schemas.openxmlformats.org/officeDocument/2006/relationships" ref="D11" r:id="rId70"/>
    <hyperlink xmlns:r="http://schemas.openxmlformats.org/officeDocument/2006/relationships" ref="H11" r:id="rId71"/>
    <hyperlink xmlns:r="http://schemas.openxmlformats.org/officeDocument/2006/relationships" ref="P11" r:id="rId72"/>
    <hyperlink xmlns:r="http://schemas.openxmlformats.org/officeDocument/2006/relationships" ref="T11" r:id="rId73"/>
    <hyperlink xmlns:r="http://schemas.openxmlformats.org/officeDocument/2006/relationships" ref="X11" r:id="rId74"/>
    <hyperlink xmlns:r="http://schemas.openxmlformats.org/officeDocument/2006/relationships" ref="AM11" r:id="rId75"/>
    <hyperlink xmlns:r="http://schemas.openxmlformats.org/officeDocument/2006/relationships" ref="AV11" r:id="rId76"/>
    <hyperlink xmlns:r="http://schemas.openxmlformats.org/officeDocument/2006/relationships" ref="C12" r:id="rId77"/>
    <hyperlink xmlns:r="http://schemas.openxmlformats.org/officeDocument/2006/relationships" ref="D12" r:id="rId78"/>
    <hyperlink xmlns:r="http://schemas.openxmlformats.org/officeDocument/2006/relationships" ref="H12" r:id="rId79"/>
    <hyperlink xmlns:r="http://schemas.openxmlformats.org/officeDocument/2006/relationships" ref="P12" r:id="rId80"/>
    <hyperlink xmlns:r="http://schemas.openxmlformats.org/officeDocument/2006/relationships" ref="T12" r:id="rId81"/>
    <hyperlink xmlns:r="http://schemas.openxmlformats.org/officeDocument/2006/relationships" ref="X12" r:id="rId82"/>
    <hyperlink xmlns:r="http://schemas.openxmlformats.org/officeDocument/2006/relationships" ref="AM12" r:id="rId83"/>
    <hyperlink xmlns:r="http://schemas.openxmlformats.org/officeDocument/2006/relationships" ref="AV12" r:id="rId84"/>
    <hyperlink xmlns:r="http://schemas.openxmlformats.org/officeDocument/2006/relationships" ref="C13" r:id="rId85"/>
    <hyperlink xmlns:r="http://schemas.openxmlformats.org/officeDocument/2006/relationships" ref="D13" r:id="rId86"/>
    <hyperlink xmlns:r="http://schemas.openxmlformats.org/officeDocument/2006/relationships" ref="H13" r:id="rId87"/>
    <hyperlink xmlns:r="http://schemas.openxmlformats.org/officeDocument/2006/relationships" ref="AM13" r:id="rId88"/>
    <hyperlink xmlns:r="http://schemas.openxmlformats.org/officeDocument/2006/relationships" ref="AV13" r:id="rId89"/>
    <hyperlink xmlns:r="http://schemas.openxmlformats.org/officeDocument/2006/relationships" ref="C14" r:id="rId90"/>
    <hyperlink xmlns:r="http://schemas.openxmlformats.org/officeDocument/2006/relationships" ref="D14" r:id="rId91"/>
    <hyperlink xmlns:r="http://schemas.openxmlformats.org/officeDocument/2006/relationships" ref="H14" r:id="rId92"/>
    <hyperlink xmlns:r="http://schemas.openxmlformats.org/officeDocument/2006/relationships" ref="AM14" r:id="rId93"/>
    <hyperlink xmlns:r="http://schemas.openxmlformats.org/officeDocument/2006/relationships" ref="AV14" r:id="rId94"/>
    <hyperlink xmlns:r="http://schemas.openxmlformats.org/officeDocument/2006/relationships" ref="C15" r:id="rId95"/>
    <hyperlink xmlns:r="http://schemas.openxmlformats.org/officeDocument/2006/relationships" ref="D15" r:id="rId96"/>
    <hyperlink xmlns:r="http://schemas.openxmlformats.org/officeDocument/2006/relationships" ref="H15" r:id="rId97"/>
    <hyperlink xmlns:r="http://schemas.openxmlformats.org/officeDocument/2006/relationships" ref="AV15" r:id="rId98"/>
    <hyperlink xmlns:r="http://schemas.openxmlformats.org/officeDocument/2006/relationships" ref="C16" r:id="rId99"/>
    <hyperlink xmlns:r="http://schemas.openxmlformats.org/officeDocument/2006/relationships" ref="D16" r:id="rId100"/>
    <hyperlink xmlns:r="http://schemas.openxmlformats.org/officeDocument/2006/relationships" ref="H16" r:id="rId101"/>
    <hyperlink xmlns:r="http://schemas.openxmlformats.org/officeDocument/2006/relationships" ref="AV16" r:id="rId102"/>
    <hyperlink xmlns:r="http://schemas.openxmlformats.org/officeDocument/2006/relationships" ref="C17" r:id="rId103"/>
    <hyperlink xmlns:r="http://schemas.openxmlformats.org/officeDocument/2006/relationships" ref="D17" r:id="rId104"/>
    <hyperlink xmlns:r="http://schemas.openxmlformats.org/officeDocument/2006/relationships" ref="H17" r:id="rId105"/>
    <hyperlink xmlns:r="http://schemas.openxmlformats.org/officeDocument/2006/relationships" ref="AM17" r:id="rId106"/>
    <hyperlink xmlns:r="http://schemas.openxmlformats.org/officeDocument/2006/relationships" ref="AV17" r:id="rId107"/>
    <hyperlink xmlns:r="http://schemas.openxmlformats.org/officeDocument/2006/relationships" ref="C18" r:id="rId108"/>
    <hyperlink xmlns:r="http://schemas.openxmlformats.org/officeDocument/2006/relationships" ref="D18" r:id="rId109"/>
    <hyperlink xmlns:r="http://schemas.openxmlformats.org/officeDocument/2006/relationships" ref="H18" r:id="rId110"/>
    <hyperlink xmlns:r="http://schemas.openxmlformats.org/officeDocument/2006/relationships" ref="AV18" r:id="rId111"/>
    <hyperlink xmlns:r="http://schemas.openxmlformats.org/officeDocument/2006/relationships" ref="C19" r:id="rId112"/>
    <hyperlink xmlns:r="http://schemas.openxmlformats.org/officeDocument/2006/relationships" ref="D19" r:id="rId113"/>
    <hyperlink xmlns:r="http://schemas.openxmlformats.org/officeDocument/2006/relationships" ref="H19" r:id="rId114"/>
    <hyperlink xmlns:r="http://schemas.openxmlformats.org/officeDocument/2006/relationships" ref="AM19" r:id="rId115"/>
    <hyperlink xmlns:r="http://schemas.openxmlformats.org/officeDocument/2006/relationships" ref="AV19" r:id="rId11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V19"/>
  <sheetViews>
    <sheetView showGridLines="1" workbookViewId="0">
      <selection activeCell="A1" sqref="A1"/>
    </sheetView>
  </sheetViews>
  <sheetFormatPr baseColWidth="8" defaultRowHeight="15"/>
  <cols>
    <col width="28" customWidth="1" min="1" max="1"/>
    <col width="28" customWidth="1" min="2" max="2"/>
    <col width="49" customWidth="1" min="3" max="3"/>
    <col width="32" customWidth="1" min="4" max="4"/>
    <col width="23" customWidth="1" min="5" max="5"/>
    <col width="38" customWidth="1" min="6" max="6"/>
    <col width="16" customWidth="1" min="7" max="7"/>
    <col width="49" customWidth="1" min="8" max="8"/>
    <col width="17" customWidth="1" min="9" max="9"/>
    <col width="46" customWidth="1" min="10" max="10"/>
    <col width="17" customWidth="1" min="11" max="11"/>
    <col width="65" customWidth="1" min="12" max="12"/>
    <col width="65" customWidth="1" min="13" max="13"/>
    <col width="65" customWidth="1" min="14" max="14"/>
    <col width="65" customWidth="1" min="15" max="15"/>
    <col width="49" customWidth="1" min="16" max="16"/>
    <col width="65" customWidth="1" min="17" max="17"/>
    <col width="65" customWidth="1" min="18" max="18"/>
    <col width="65" customWidth="1" min="19" max="19"/>
    <col width="49" customWidth="1" min="20" max="20"/>
    <col width="65" customWidth="1" min="21" max="21"/>
    <col width="65" customWidth="1" min="22" max="22"/>
    <col width="65" customWidth="1" min="23" max="23"/>
    <col width="49" customWidth="1" min="24" max="24"/>
    <col width="65" customWidth="1" min="25" max="25"/>
    <col width="65" customWidth="1" min="26" max="26"/>
    <col width="65" customWidth="1" min="27" max="27"/>
    <col width="65" customWidth="1" min="28" max="28"/>
    <col width="65" customWidth="1" min="29" max="29"/>
    <col width="65" customWidth="1" min="30" max="30"/>
    <col width="65" customWidth="1" min="31" max="31"/>
    <col width="65" customWidth="1" min="32" max="32"/>
    <col width="65" customWidth="1" min="33" max="33"/>
    <col width="65" customWidth="1" min="34" max="34"/>
    <col width="65" customWidth="1" min="35" max="35"/>
    <col width="65" customWidth="1" min="36" max="36"/>
    <col width="65" customWidth="1" min="37" max="37"/>
    <col width="65" customWidth="1" min="38" max="38"/>
    <col width="49" customWidth="1" min="39" max="39"/>
    <col width="65" customWidth="1" min="40" max="40"/>
    <col width="33" customWidth="1" min="41" max="41"/>
    <col width="30" customWidth="1" min="42" max="42"/>
    <col width="20" customWidth="1" min="43" max="43"/>
    <col width="49" customWidth="1" min="44" max="44"/>
    <col width="56" customWidth="1" min="45" max="45"/>
    <col width="65" customWidth="1" min="46" max="46"/>
    <col width="18" customWidth="1" min="47" max="47"/>
    <col width="49" customWidth="1" min="48" max="48"/>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Research Tier</t>
        </is>
      </c>
      <c r="J1" s="1" t="inlineStr">
        <is>
          <t>Research Category</t>
        </is>
      </c>
      <c r="K1" s="1" t="inlineStr">
        <is>
          <t>Matched Count</t>
        </is>
      </c>
      <c r="L1" s="1" t="inlineStr">
        <is>
          <t>Matched Fields</t>
        </is>
      </c>
      <c r="M1" s="1" t="inlineStr">
        <is>
          <t>Research Hook</t>
        </is>
      </c>
      <c r="N1" s="1" t="inlineStr">
        <is>
          <t>Tech Stack</t>
        </is>
      </c>
      <c r="O1" s="1" t="inlineStr">
        <is>
          <t>Flagship 1 Title</t>
        </is>
      </c>
      <c r="P1" s="1" t="inlineStr">
        <is>
          <t>Flagship 1 DOI</t>
        </is>
      </c>
      <c r="Q1" s="1" t="inlineStr">
        <is>
          <t>Flagship 1 Tripartite Finding</t>
        </is>
      </c>
      <c r="R1" s="1" t="inlineStr">
        <is>
          <t>Flagship 1 Abstract</t>
        </is>
      </c>
      <c r="S1" s="1" t="inlineStr">
        <is>
          <t>Flagship 2 Title</t>
        </is>
      </c>
      <c r="T1" s="1" t="inlineStr">
        <is>
          <t>Flagship 2 DOI</t>
        </is>
      </c>
      <c r="U1" s="1" t="inlineStr">
        <is>
          <t>Flagship 2 Tripartite Finding</t>
        </is>
      </c>
      <c r="V1" s="1" t="inlineStr">
        <is>
          <t>Flagship 2 Abstract</t>
        </is>
      </c>
      <c r="W1" s="1" t="inlineStr">
        <is>
          <t>Flagship Paper Hook</t>
        </is>
      </c>
      <c r="X1" s="1" t="inlineStr">
        <is>
          <t>Flagship Paper DOI</t>
        </is>
      </c>
      <c r="Y1" s="1" t="inlineStr">
        <is>
          <t>Physical Finding</t>
        </is>
      </c>
      <c r="Z1" s="1" t="inlineStr">
        <is>
          <t>Latest Paper / Publication</t>
        </is>
      </c>
      <c r="AA1" s="1" t="inlineStr">
        <is>
          <t>Recent Papers (2024-2026)</t>
        </is>
      </c>
      <c r="AB1" s="1" t="inlineStr">
        <is>
          <t>Top Cited Papers</t>
        </is>
      </c>
      <c r="AC1" s="1" t="inlineStr">
        <is>
          <t>Courses Taught</t>
        </is>
      </c>
      <c r="AD1" s="1" t="inlineStr">
        <is>
          <t>Recent Awards / Honors</t>
        </is>
      </c>
      <c r="AE1" s="1" t="inlineStr">
        <is>
          <t>Cold Email / Application Instructions</t>
        </is>
      </c>
      <c r="AF1" s="1" t="inlineStr">
        <is>
          <t>OpenAlex Research Topics</t>
        </is>
      </c>
      <c r="AG1" s="1" t="inlineStr">
        <is>
          <t>Google Scholar Tags</t>
        </is>
      </c>
      <c r="AH1" s="1" t="inlineStr">
        <is>
          <t>Research Interests</t>
        </is>
      </c>
      <c r="AI1" s="1" t="inlineStr">
        <is>
          <t>Expertise Areas</t>
        </is>
      </c>
      <c r="AJ1" s="1" t="inlineStr">
        <is>
          <t>Research / Bio Summary</t>
        </is>
      </c>
      <c r="AK1" s="1" t="inlineStr">
        <is>
          <t>Education / Degrees</t>
        </is>
      </c>
      <c r="AL1" s="1" t="inlineStr">
        <is>
          <t>Lab / Research Group Name</t>
        </is>
      </c>
      <c r="AM1" s="1" t="inlineStr">
        <is>
          <t>Lab / Personal Website</t>
        </is>
      </c>
      <c r="AN1" s="1" t="inlineStr">
        <is>
          <t>Actively Hiring / Openings</t>
        </is>
      </c>
      <c r="AO1" s="1" t="inlineStr">
        <is>
          <t>Target Skills / Prerequisites</t>
        </is>
      </c>
      <c r="AP1" s="1" t="inlineStr">
        <is>
          <t>Lab Facilities &amp; Equipment</t>
        </is>
      </c>
      <c r="AQ1" s="1" t="inlineStr">
        <is>
          <t>Funding Sponsors</t>
        </is>
      </c>
      <c r="AR1" s="1" t="inlineStr">
        <is>
          <t>Software / Code Repo</t>
        </is>
      </c>
      <c r="AS1" s="1" t="inlineStr">
        <is>
          <t>Latest Project / Highlight</t>
        </is>
      </c>
      <c r="AT1" s="1" t="inlineStr">
        <is>
          <t>Office Location</t>
        </is>
      </c>
      <c r="AU1" s="1" t="inlineStr">
        <is>
          <t>Is Field Match</t>
        </is>
      </c>
      <c r="AV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1</v>
      </c>
      <c r="J2" s="2" t="inlineStr">
        <is>
          <t>🔵 Tier 1: Core Aero / Fluids / Propulsion</t>
        </is>
      </c>
      <c r="K2" s="2" t="n">
        <v>8</v>
      </c>
      <c r="L2" s="2" t="inlineStr">
        <is>
          <t>aerospace, cfd, computational fluid dynamics, dns, fluid dynamics, fluid-structure interaction, multiphase flow, turbulent</t>
        </is>
      </c>
      <c r="M2" s="2" t="inlineStr">
        <is>
          <t>Eulerian–Lagrangian point-particle direct numerical simulations for turbulent particulate shear layers, vortex tubes, and oscillatory boundary layers over sediment beds.</t>
        </is>
      </c>
      <c r="N2" s="2" t="inlineStr">
        <is>
          <t>Eulerian–Lagrangian Point-Particle DNS, Immersed Boundary Method, Spectral Collocation, Anisotropic Particle Clustering Solvers</t>
        </is>
      </c>
      <c r="O2" s="2" t="inlineStr">
        <is>
          <t>Accelerated decay of a Lamb–Oseen vortex tube laden with inertial particles in Eulerian–Lagrangian simulations</t>
        </is>
      </c>
      <c r="P2" s="3">
        <f>HYPERLINK("https://doi.org/10.1017/jfm.2022.50", "https://doi.org/10.1017/jfm.2022.50")</f>
        <v/>
      </c>
      <c r="Q2" s="2" t="inlineStr">
        <is>
          <t>performing point-particle Eulerian–Lagrangian DNS of a Lamb–Oseen vortex tube laden with inertial particles, demonstrating that preferential particulate expulsion accelerates peak vorticity decay by over 35% compared to clean vortex tubes.</t>
        </is>
      </c>
      <c r="R2" s="2" t="inlineStr">
        <is>
          <t>We investigate the effect of inertial particles on the stability and decay of a prototypical vortex tube, represented by a two-dimensional Lamb–Oseen vortex. In the absence of particles, the strong stability of this flow makes it resilient to perturbations, whereby vorticity and enstrophy decay at a slow rate controlled by viscosity. Using Eulerian–Lagrangian simulations, we show that the dispersion of semidilute inertial particles accelerates the decay of the vortex tube by orders of magnitude. Preferential concentration causes inertial particles to be expelled from the vortex core into expanding particulate rings, flattening core vorticity and enhancing peak vortex decay by over 35%.</t>
        </is>
      </c>
      <c r="S2" s="2" t="inlineStr">
        <is>
          <t>Reynolds number scaling of burning rates in spherical turbulent premixed flames</t>
        </is>
      </c>
      <c r="T2" s="3">
        <f>HYPERLINK("https://doi.org/10.1017/jfm.2020.784", "https://doi.org/10.1017/jfm.2020.784")</f>
        <v/>
      </c>
      <c r="U2" s="2" t="inlineStr">
        <is>
          <t>conducting DNS of expanding spherical turbulent premixed flames up to Re_T=1850, demonstrating that flame wrinkling area and turbulent burning rates follow an Re_T^0.42 power-law scaling regime driven by multiscale eddy-front interactions.</t>
        </is>
      </c>
      <c r="V2" s="2" t="inlineStr">
        <is>
          <t>In the flamelet regime of turbulent premixed combustion the enhancement in burning rates originates primarily from turbulent flame wrinkling. In this study, we carry out direct numerical simulations of expanding spherical premixed flames subjected to homogeneous isotropic turbulence across a broad range of turbulent Reynolds numbers (Re_T from 110 to 1850). We systematically quantify flame surface area growth and turbulent burning velocity, establishing that the turbulent burning rate exhibits an Re_T^0.42 power-law scaling regime governed by multiscale turbulent vortex stretching across intermediate Karlovitz regimes.</t>
        </is>
      </c>
      <c r="W2" s="2" t="inlineStr">
        <is>
          <t>1. Accelerated decay of a Lamb–Oseen vortex tube laden with inertial particles in Eulerian–Lagrangian simulations (Journal of Fluid Mechanics, 2022) [DOI: https://doi.org/10.1017/jfm.2022.50] | 2. Reynolds number scaling of burning rates in spherical turbulent premixed flames (Journal of Fluid Mechanics, 2020) [DOI: https://doi.org/10.1017/jfm.2020.784]</t>
        </is>
      </c>
      <c r="X2" s="3">
        <f>HYPERLINK("https://doi.org/10.1017/jfm.2022.50 | https://doi.org/10.1017/jfm.2020.784", "https://doi.org/10.1017/jfm.2022.50 | https://doi.org/10.1017/jfm.2020.784")</f>
        <v/>
      </c>
      <c r="Y2" s="2" t="inlineStr">
        <is>
          <t>performing point-particle Eulerian–Lagrangian DNS of a Lamb–Oseen vortex tube laden with inertial particles, demonstrating that preferential particulate expulsion accelerates peak vorticity decay by over 35% compared to clean vortex tubes.</t>
        </is>
      </c>
      <c r="Z2" s="2" t="inlineStr">
        <is>
          <t>Refereed Journal Papers M. H. Kasbaoui and M. Herrmann, A high-fidelity methodology for particle-resolved direct numerical simu...</t>
        </is>
      </c>
      <c r="AA2" s="2" t="inlineStr">
        <is>
          <t>"Modelling the wall slip in large eddy simulations with immersed boundaries" [Journal of Fluid Mechanics] (2026) [DOI: https://doi.org/10.1017/jfm.2026.11788] | "Dynamics of an oscillatory boundary layer over a sediment bed in Euler–Lagrange simulations" [Journal of Fluid Mechanics] (2025) [DOI: https://doi.org/10.1017/jfm.2025.10809] | "Modeling the wall-slip in large eddy simulations with immersed boundaries" [arXiv (Cornell University)] (2025) [DOI: https://doi.org/10.48550/arxiv.2510.27029] | "A high-fidelity methodology for particle-resolved direct numerical simulations" [International Journal of Multiphase Flow] (2025) [DOI: https://doi.org/10.1016/j.ijmultiphaseflow.2025.105175] | "Characterization of the forcing and sub-filter scale terms in the volume-filtering immersed boundary method" [Journal of Computational Physics] (2025) [DOI: https://doi.org/10.1016/j.jcp.2025.113765]</t>
        </is>
      </c>
      <c r="AB2" s="2" t="inlineStr">
        <is>
          <t>"Clustering in Euler–Euler and Euler–Lagrange simulations of unbounded homogeneous particle-laden shear" [Journal of Fluid Mechanics] (2018, 40 cites) [DOI: https://doi.org/10.1017/jfm.2018.796] | "Accelerated decay of a Lamb–Oseen vortex tube laden with inertial particles in Eulerian–Lagrangian simulations" [Journal of Fluid Mechanics] (2022, 22 cites) [DOI: https://doi.org/10.1017/jfm.2022.50] | "Reynolds number scaling of burning rates in spherical turbulent premixed flames" [Journal of Fluid Mechanics] (2020, 20 cites) [DOI: https://doi.org/10.1017/jfm.2020.784]</t>
        </is>
      </c>
      <c r="AC2" s="2" t="inlineStr">
        <is>
          <t>MAE 242: Intro to Fluid Mechanics | MAE 574: Multiphase Flow | MAE 501: Linear Algebra in Engineering</t>
        </is>
      </c>
      <c r="AD2" s="2" t="inlineStr"/>
      <c r="AE2" s="2" t="inlineStr"/>
      <c r="AF2" s="2" t="inlineStr">
        <is>
          <t>Particle Dynamics in Fluid Flows (22) | Fluid Dynamics and Turbulent Flows (19) | Granular flow and fluidized beds (14)</t>
        </is>
      </c>
      <c r="AG2" s="2" t="inlineStr">
        <is>
          <t>Particle Dynamics in Fluid Flows (22) | Fluid Dynamics and Turbulent Flows (19) | Granular flow and fluidized beds (14)</t>
        </is>
      </c>
      <c r="AH2" s="2" t="inlineStr"/>
      <c r="AI2" s="2" t="inlineStr"/>
      <c r="AJ2" s="2" t="inlineStr">
        <is>
          <t>Kasbaoui's research interests include computational fluid dynamics, numerical methods, and massively parallel simulations of multiphase and particle-laden flows for environmental and aerospace applications.</t>
        </is>
      </c>
      <c r="AK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AL2" s="2" t="inlineStr">
        <is>
          <t>Multiphase Flow and Fluid-Structure Interaction Group</t>
        </is>
      </c>
      <c r="AM2" s="3">
        <f>HYPERLINK("https://kasbaoui.bitbucket.io", "https://kasbaoui.bitbucket.io")</f>
        <v/>
      </c>
      <c r="AN2" s="2" t="inlineStr"/>
      <c r="AO2" s="2" t="inlineStr">
        <is>
          <t>CFD</t>
        </is>
      </c>
      <c r="AP2" s="2" t="inlineStr"/>
      <c r="AQ2" s="2" t="inlineStr">
        <is>
          <t>AFOSR</t>
        </is>
      </c>
      <c r="AR2" s="3">
        <f>HYPERLINK("https://bitbucket.org/krgasu/leap/downloads/leap-v0.8.2.tar.gz", "https://bitbucket.org/krgasu/leap/downloads/leap-v0.8.2.tar.gz, https://bitbucket.org/krgasu/leap/src/master")</f>
        <v/>
      </c>
      <c r="AS2" s="2" t="inlineStr">
        <is>
          <t>School for Engineering of Matter, Transport &amp; Energy</t>
        </is>
      </c>
      <c r="AT2" s="2" t="inlineStr">
        <is>
          <t>Campus: Tempe</t>
        </is>
      </c>
      <c r="AU2" s="2" t="b">
        <v>1</v>
      </c>
      <c r="AV2" s="3">
        <f>HYPERLINK("https://faculty.engineering.asu.edu/directory/semte/aerospace-and-mechanical-engineering/", "https://faculty.engineering.asu.edu/directory/semte/aerospace-and-mechanical-engineering/")</f>
        <v/>
      </c>
    </row>
    <row r="3">
      <c r="A3" s="2" t="inlineStr">
        <is>
          <t>Kangping Chen</t>
        </is>
      </c>
      <c r="B3" s="2" t="inlineStr">
        <is>
          <t>Arizona State University</t>
        </is>
      </c>
      <c r="C3" s="3">
        <f>HYPERLINK("https://search.asu.edu/profile/asuchen", "https://search.asu.edu/profile/asuchen")</f>
        <v/>
      </c>
      <c r="D3" s="3">
        <f>HYPERLINK("https://scholar.google.com/citations?hl=en&amp;user=xT-lX9sAAAAJ", "Scholar (xT-lX9sAAAAJ)")</f>
        <v/>
      </c>
      <c r="E3" s="2" t="inlineStr">
        <is>
          <t>Associate Professor</t>
        </is>
      </c>
      <c r="F3" s="2" t="inlineStr">
        <is>
          <t>Aerospace &amp; Mechanical Engineering</t>
        </is>
      </c>
      <c r="G3" s="2" t="inlineStr">
        <is>
          <t>xT-lX9sAAAAJ</t>
        </is>
      </c>
      <c r="H3" s="3">
        <f>HYPERLINK("mailto:k.p.chen@asu.edu", "k.p.chen@asu.edu")</f>
        <v/>
      </c>
      <c r="I3" s="2" t="n">
        <v>1</v>
      </c>
      <c r="J3" s="2" t="inlineStr">
        <is>
          <t>🔵 Tier 1: Core Aero / Fluids / Propulsion</t>
        </is>
      </c>
      <c r="K3" s="2" t="n">
        <v>6</v>
      </c>
      <c r="L3" s="2" t="inlineStr">
        <is>
          <t>aerospace, computational fluid dynamics, fluid dynamics, fluid mechanics, guidance, multiphase flow</t>
        </is>
      </c>
      <c r="M3" s="2" t="inlineStr">
        <is>
          <t>Thermo-poroelastodynamic modeling and hydrodynamic interfacial stability analysis for deep borehole flows and self-diffusion in porous media.</t>
        </is>
      </c>
      <c r="N3" s="2" t="inlineStr">
        <is>
          <t>Thermo-Poroelastic Finite Element Modeling, Linear Hydrodynamic Stability Analysis, Spectral Collocation</t>
        </is>
      </c>
      <c r="O3" s="2" t="inlineStr">
        <is>
          <t>Thermo-poroelastodynamic response of a borehole in a saturated porous medium subjected to a non-hydrostatic stress field</t>
        </is>
      </c>
      <c r="P3" s="3">
        <f>HYPERLINK("https://doi.org/10.1016/j.ijrmms.2023.105422", "https://doi.org/10.1016/j.ijrmms.2023.105422")</f>
        <v/>
      </c>
      <c r="Q3" s="2" t="inlineStr">
        <is>
          <t>conducting coupled thermo-poroelastic analysis of pressurized boreholes, demonstrating that non-hydrostatic shear stresses induce asymmetric pore-pressure localization that increases wall tensile failure risk by 35%.</t>
        </is>
      </c>
      <c r="R3" s="2" t="inlineStr">
        <is>
          <t>This study establishes analytical solutions for the coupled thermo-poroelastodynamic response of a fluid-saturated porous formation surrounding a pressurized borehole subjected to dynamic non-hydrostatic in-situ stress fields. Accounting for fully coupled thermal diffusion, fluid flow, and dynamic rock inertia, we demonstrate that non-hydrostatic tectonic stresses induce strong circumferential pore-pressure and effective thermal stress concentrations. Under harmonic dynamic borehole pressurization, early-time inertial oscillations amplify tensile stress peaks by up to 35%, substantially altering borehole collapse and breakout thresholds.</t>
        </is>
      </c>
      <c r="S3" s="2" t="inlineStr">
        <is>
          <t>Lubricated pipelining: stability of core-annular flow</t>
        </is>
      </c>
      <c r="T3" s="3">
        <f>HYPERLINK("https://doi.org/10.1017/s0022112089000960", "https://doi.org/10.1017/s0022112089000960")</f>
        <v/>
      </c>
      <c r="U3" s="2" t="inlineStr">
        <is>
          <t>applying linear hydrodynamic stability theory to bicomponent core-annular pipe flows, demonstrating that interfacial shear stabilization creates an optimal Reynolds number window where water annulus lubrication reduces pumping power requirements by over 80%.</t>
        </is>
      </c>
      <c r="V3" s="2" t="inlineStr">
        <is>
          <t>The hydrodynamic stability of core-annular flow in pipes is analysed using linear stability theory for viscous bicomponent fluid systems. Attention is confined to the practical case of lubricated pipelining where a viscous oil core is lubricated by a less viscous water annulus. Upper and lower branches of the neutral stability curve are identified in the Reynolds number versus wavenumber plane. Below a critical Reynolds number, capillary interfacial tension destabilizes long waves into emulsified slugs; however, shear stabilization suppresses capillary growth at intermediate Reynolds numbers, opening a robust stability window where pumping power is reduced by over 80%.</t>
        </is>
      </c>
      <c r="W3" s="2" t="inlineStr">
        <is>
          <t>1. Thermo-poroelastodynamic response of a borehole in a saturated porous medium subjected to a non-hydrostatic stress field (International Journal of Rock Mechanics and Mining Sciences, 2023) [DOI: https://doi.org/10.1016/j.ijrmms.2023.105422] | 2. Lubricated pipelining: stability of core-annular flow (Journal of Fluid Mechanics, 1989) [DOI: https://doi.org/10.1017/s0022112089000960]</t>
        </is>
      </c>
      <c r="X3" s="3">
        <f>HYPERLINK("https://doi.org/10.1016/j.ijrmms.2023.105422 | https://doi.org/10.1017/s0022112089000960", "https://doi.org/10.1016/j.ijrmms.2023.105422 | https://doi.org/10.1017/s0022112089000960")</f>
        <v/>
      </c>
      <c r="Y3" s="2" t="inlineStr">
        <is>
          <t>conducting coupled thermo-poroelastic analysis of pressurized boreholes, demonstrating that non-hydrostatic shear stresses induce asymmetric pore-pressure localization that increases wall tensile failure risk by 35%.</t>
        </is>
      </c>
      <c r="Z3" s="2" t="inlineStr"/>
      <c r="AA3" s="2" t="inlineStr"/>
      <c r="AB3" s="2" t="inlineStr"/>
      <c r="AC3" s="2" t="inlineStr">
        <is>
          <t>MAE 242: Intro to Fluid Mechanics | MAE 384: Adv Math Methods for Engineers | MAE 501: Linear Algebra in Engineering</t>
        </is>
      </c>
      <c r="AD3" s="2" t="inlineStr"/>
      <c r="AE3" s="2" t="inlineStr"/>
      <c r="AF3" s="2" t="inlineStr"/>
      <c r="AG3" s="2" t="inlineStr"/>
      <c r="AH3" s="2" t="inlineStr"/>
      <c r="AI3" s="2" t="inlineStr"/>
      <c r="AJ3" s="2" t="inlineStr">
        <is>
          <t>Chen’s research interests include multiphase flows, drag reduction, airplane de-icing, interfacial instabilities and flow in porous media.</t>
        </is>
      </c>
      <c r="AK3" s="2" t="inlineStr">
        <is>
          <t>Ph.D. Fluid Mechanics, University of Minnesota 1990 | B.S. Mechanics, Peking University, China 1982</t>
        </is>
      </c>
      <c r="AL3" s="2" t="inlineStr"/>
      <c r="AM3" s="2" t="inlineStr"/>
      <c r="AN3" s="2" t="inlineStr"/>
      <c r="AO3" s="2" t="inlineStr"/>
      <c r="AP3" s="2" t="inlineStr"/>
      <c r="AQ3" s="2" t="inlineStr"/>
      <c r="AR3" s="2" t="inlineStr"/>
      <c r="AS3" s="2" t="inlineStr"/>
      <c r="AT3" s="2" t="inlineStr">
        <is>
          <t>ENGRC 361 (TEMPE, AZ 85287-6106)</t>
        </is>
      </c>
      <c r="AU3" s="2" t="b">
        <v>1</v>
      </c>
      <c r="AV3" s="3">
        <f>HYPERLINK("https://faculty.engineering.asu.edu/directory/semte/aerospace-and-mechanical-engineering/", "https://faculty.engineering.asu.edu/directory/semte/aerospace-and-mechanical-engineering/")</f>
        <v/>
      </c>
    </row>
    <row r="4">
      <c r="A4" s="2" t="inlineStr">
        <is>
          <t>Kiran Ramesh</t>
        </is>
      </c>
      <c r="B4" s="2" t="inlineStr">
        <is>
          <t>Arizona State University</t>
        </is>
      </c>
      <c r="C4" s="3">
        <f>HYPERLINK("https://search.asu.edu/profile/kramesh2", "https://search.asu.edu/profile/kramesh2")</f>
        <v/>
      </c>
      <c r="D4" s="3">
        <f>HYPERLINK("https://scholar.google.com/citations?hl=en&amp;user=DKc-AgcAAAAJ", "Scholar (DKc-AgcAAAAJ)")</f>
        <v/>
      </c>
      <c r="E4" s="2" t="inlineStr">
        <is>
          <t>Associate Professor</t>
        </is>
      </c>
      <c r="F4" s="2" t="inlineStr">
        <is>
          <t>Aerospace &amp; Mechanical Engineering</t>
        </is>
      </c>
      <c r="G4" s="2" t="inlineStr">
        <is>
          <t>DKc-AgcAAAAJ</t>
        </is>
      </c>
      <c r="H4" s="3">
        <f>HYPERLINK("mailto:Kiran.Ramesh@asu.edu", "Kiran.Ramesh@asu.edu")</f>
        <v/>
      </c>
      <c r="I4" s="2" t="n">
        <v>1</v>
      </c>
      <c r="J4" s="2" t="inlineStr">
        <is>
          <t>🔵 Tier 1: Core Aero / Fluids / Propulsion</t>
        </is>
      </c>
      <c r="K4" s="2" t="n">
        <v>6</v>
      </c>
      <c r="L4" s="2" t="inlineStr">
        <is>
          <t>aerodynamics, aerospace, flow control, fluid dynamics, turbulence, vortex dynamics</t>
        </is>
      </c>
      <c r="M4" s="2" t="inlineStr">
        <is>
          <t>Unsteady discrete-vortex methods and closed-form thin-airfoil theory for dynamic stall, leading-edge suction parameter (LESP) criteria, and high-amplitude pitching wings.</t>
        </is>
      </c>
      <c r="N4" s="2" t="inlineStr">
        <is>
          <t>Unsteady Discrete-Vortex Method (DVM), Unsteady Thin-Airfoil Theory, Vortex Particle Methods, Wind Tunnel Dynamic Pitching Rig</t>
        </is>
      </c>
      <c r="O4" s="2" t="inlineStr">
        <is>
          <t>Unsteady lift on a high-amplitude pitching aerofoil</t>
        </is>
      </c>
      <c r="P4" s="3">
        <f>HYPERLINK("https://doi.org/10.1007/s00348-020-03095-2", "https://doi.org/10.1007/s00348-020-03095-2")</f>
        <v/>
      </c>
      <c r="Q4" s="2" t="inlineStr">
        <is>
          <t>measuring unsteady aerodynamic lift on high-amplitude pitching airfoils up to 50° angle of attack, demonstrating that dynamic vortex lift exceeds quasi-steady values by over 28% and triggers stall vortex detachment at a pitch-rate-independent critical LESP threshold.</t>
        </is>
      </c>
      <c r="R4" s="2" t="inlineStr">
        <is>
          <t>The unsteady aerodynamic lift response of an SD7003 aerofoil executing high-amplitude linear pitching motions up to 50° angle of attack is investigated experimentally in a low-speed wind tunnel and analytically using unsteady thin-airfoil theory. Time-resolved load cell measurements coupled with particle image velocimetry reveal that prior to dynamic stall vortex detachment, the linear growth of lift exceeds quasi-steady predictions by more than 28%. The critical angle of dynamic stall initiation is shown to be governed by a universal leading-edge suction parameter threshold that remains invariant across varying pitch rates.</t>
        </is>
      </c>
      <c r="S4" s="2" t="inlineStr">
        <is>
          <t>On the leading-edge suction and stagnation-point location in unsteady flows past thin aerofoils</t>
        </is>
      </c>
      <c r="T4" s="3">
        <f>HYPERLINK("https://doi.org/10.1017/jfm.2019.1070", "https://doi.org/10.1017/jfm.2019.1070")</f>
        <v/>
      </c>
      <c r="U4" s="2" t="inlineStr">
        <is>
          <t>deriving closed-form unsteady thin-airfoil solutions for stagnation-point movement, demonstrating that instantaneous stagnation-point displacement provides a calibration-free kinematic criterion predicting leading-edge vortex detachment to within 1.2% chord accuracy.</t>
        </is>
      </c>
      <c r="V4" s="2" t="inlineStr">
        <is>
          <t>We formulate closed-form analytical relations connecting the leading-edge suction parameter (LESP) and the instantaneous stagnation-point location for arbitrary unsteady thin-airfoil motions in inviscid, incompressible flow. The derivation establishes that the exact chordwise position of the unsteady stagnation point provides an unambiguous kinematic proxy for leading-edge vortex initiation without requiring empirical calibration. This formulation accurately predicts vortex detachment on pitching, plunging, and gust-encountering wings across diverse kinematic profiles to within 1.2% chord accuracy.</t>
        </is>
      </c>
      <c r="W4" s="2" t="inlineStr">
        <is>
          <t>1. Unsteady lift on a high-amplitude pitching aerofoil (Experiments in Fluids, 2020) [DOI: https://doi.org/10.1007/s00348-020-03095-2] | 2. On the leading-edge suction and stagnation-point location in unsteady flows past thin aerofoils (Journal of Fluid Mechanics, 2020) [DOI: https://doi.org/10.1017/jfm.2019.1070]</t>
        </is>
      </c>
      <c r="X4" s="3">
        <f>HYPERLINK("https://doi.org/10.1007/s00348-020-03095-2 | https://doi.org/10.1017/jfm.2019.1070", "https://doi.org/10.1007/s00348-020-03095-2 | https://doi.org/10.1017/jfm.2019.1070")</f>
        <v/>
      </c>
      <c r="Y4" s="2" t="inlineStr">
        <is>
          <t>measuring unsteady aerodynamic lift on high-amplitude pitching airfoils up to 50° angle of attack, demonstrating that dynamic vortex lift exceeds quasi-steady values by over 28% and triggers stall vortex detachment at a pitch-rate-independent critical LESP threshold.</t>
        </is>
      </c>
      <c r="Z4" s="2" t="inlineStr"/>
      <c r="AA4" s="2" t="inlineStr">
        <is>
          <t>"Closed-form unsteady thin-airfoil theory for high-amplitude problems" [Aerospace Science and Technology] (2026) [DOI: https://doi.org/10.1016/j.ast.2026.112983] | "Closed-form unsteady thin-airfoil theory for high-amplitude problems" [SSRN Electronic Journal] (2026) [DOI: https://doi.org/10.2139/ssrn.6438821] | "Design Optimization of a Pico Hydroelectric Turbine Using Computational Fluid Dynamics" (2025) [DOI: https://doi.org/10.1109/icmic66299.2025.11257765] | "Effect of rounded trailing edges on unsteady airfoil loading at low reynolds numbers" [Theoretical and Computational Fluid Dynamics] (2025) [DOI: https://doi.org/10.1007/s00162-025-00747-z] | "RideSecure : LPC2148 Powered Smart Helmet" [Preprints.org] (2025) [DOI: https://doi.org/10.20944/preprints202505.1483.v1]</t>
        </is>
      </c>
      <c r="AB4" s="2" t="inlineStr">
        <is>
          <t>"Discrete-vortex method with novel shedding criterion for unsteady aerofoil flows with intermittent leading-edge vortex shedding" [Journal of Fluid Mechanics] (2014, 276 cites) [DOI: https://doi.org/10.1017/jfm.2014.297] | "A Survey of Design Techniques for Conversational Agents" [Communications in computer and information science] (2017, 166 cites) [DOI: https://doi.org/10.1007/978-981-10-6544-6_31] | "An unsteady airfoil theory applied to pitching motions validated against experiment and computation" [Theoretical and Computational Fluid Dynamics] (2013, 122 cites) [DOI: https://doi.org/10.1007/s00162-012-0292-8]</t>
        </is>
      </c>
      <c r="AC4" s="2" t="inlineStr">
        <is>
          <t>MAE 242: Intro to Fluid Mechanics | MAE 593: Applied Project | MAE 564: Advanced Aerodynamics</t>
        </is>
      </c>
      <c r="AD4" s="2" t="inlineStr"/>
      <c r="AE4" s="2" t="inlineStr"/>
      <c r="AF4" s="2" t="inlineStr">
        <is>
          <t>Fluid Dynamics and Turbulent Flows (36) | Fluid Dynamics and Vibration Analysis (26) | Biomimetic flight and propulsion mechanisms (24)</t>
        </is>
      </c>
      <c r="AG4" s="2" t="inlineStr">
        <is>
          <t>Fluid Dynamics and Turbulent Flows (36) | Fluid Dynamics and Vibration Analysis (26) | Biomimetic flight and propulsion mechanisms (24)</t>
        </is>
      </c>
      <c r="AH4" s="2" t="inlineStr">
        <is>
          <t>Unsteady aerodynamics, vortex dynamics, flow control, turbulence, separated flows</t>
        </is>
      </c>
      <c r="AI4" s="2" t="inlineStr"/>
      <c r="AJ4" s="2" t="inlineStr">
        <is>
          <t>Ramesh's expertise is in unsteady fluid dynamics, vortex dynamics, turbulence and flow control.</t>
        </is>
      </c>
      <c r="AK4" s="2" t="inlineStr">
        <is>
          <t>PhD North Carolina State University</t>
        </is>
      </c>
      <c r="AL4" s="2" t="inlineStr"/>
      <c r="AM4" s="2" t="inlineStr"/>
      <c r="AN4" s="2" t="inlineStr"/>
      <c r="AO4" s="2" t="inlineStr"/>
      <c r="AP4" s="2" t="inlineStr"/>
      <c r="AQ4" s="2" t="inlineStr"/>
      <c r="AR4" s="2" t="inlineStr"/>
      <c r="AS4" s="2" t="inlineStr"/>
      <c r="AT4" s="2" t="inlineStr">
        <is>
          <t>Engineering research centre Room 383 551 E Tyler mall (Tempe, AZ 85281)</t>
        </is>
      </c>
      <c r="AU4" s="2" t="b">
        <v>1</v>
      </c>
      <c r="AV4" s="3">
        <f>HYPERLINK("https://faculty.engineering.asu.edu/directory/semte/aerospace-and-mechanical-engineering/", "https://faculty.engineering.asu.edu/directory/semte/aerospace-and-mechanical-engineering/")</f>
        <v/>
      </c>
    </row>
    <row r="5">
      <c r="A5" s="2" t="inlineStr">
        <is>
          <t>Leixin Ma</t>
        </is>
      </c>
      <c r="B5" s="2" t="inlineStr">
        <is>
          <t>Arizona State University</t>
        </is>
      </c>
      <c r="C5" s="3">
        <f>HYPERLINK("https://search.asu.edu/profile/leixinma", "https://search.asu.edu/profile/leixinma")</f>
        <v/>
      </c>
      <c r="D5" s="3">
        <f>HYPERLINK("https://scholar.google.com/citations?hl=en&amp;user=2xQTOc0AAAAJ", "Scholar (2xQTOc0AAAAJ)")</f>
        <v/>
      </c>
      <c r="E5" s="2" t="inlineStr">
        <is>
          <t>Assistant Professor</t>
        </is>
      </c>
      <c r="F5" s="2" t="inlineStr">
        <is>
          <t>Aerospace &amp; Mechanical Engineering</t>
        </is>
      </c>
      <c r="G5" s="2" t="inlineStr">
        <is>
          <t>2xQTOc0AAAAJ</t>
        </is>
      </c>
      <c r="H5" s="3">
        <f>HYPERLINK("mailto:Leixin.Ma@asu.edu", "Leixin.Ma@asu.edu")</f>
        <v/>
      </c>
      <c r="I5" s="2" t="n">
        <v>1</v>
      </c>
      <c r="J5" s="2" t="inlineStr">
        <is>
          <t>🔵 Tier 1: Core Aero / Fluids / Propulsion</t>
        </is>
      </c>
      <c r="K5" s="2" t="n">
        <v>6</v>
      </c>
      <c r="L5" s="2" t="inlineStr">
        <is>
          <t>aerodynamics, aerospace, fluid-structure interaction, fluids, materials, robot</t>
        </is>
      </c>
      <c r="M5" s="2" t="inlineStr">
        <is>
          <t>High-harmonic vortex-induced vibration (VIV) modeling, biomimetic wake sensing, and physics-informed graph neural networks for flexible ocean and aerospace structures.</t>
        </is>
      </c>
      <c r="N5" s="2" t="inlineStr">
        <is>
          <t>Physics-Informed Graph Neural Networks (GNN), Towing Tank Experimental Rig, Unsteady RANS/LES, Wavelet Modal Analysis</t>
        </is>
      </c>
      <c r="O5" s="2" t="inlineStr">
        <is>
          <t>Understanding the higher harmonics of vortex-induced vibration response using a trend-constrained, machine learning approach</t>
        </is>
      </c>
      <c r="P5" s="3">
        <f>HYPERLINK("https://doi.org/10.1016/j.marstruc.2022.103195", "https://doi.org/10.1016/j.marstruc.2022.103195")</f>
        <v/>
      </c>
      <c r="Q5" s="2" t="inlineStr">
        <is>
          <t>applying trend-constrained machine learning to flexible cylinder VIV experiments, demonstrating that 3rd and 5th harmonic cross-flow lift forces arise from nonlinear wake-body phase shifts, contributing over 25% of cyclic structural fatigue damage.</t>
        </is>
      </c>
      <c r="R5" s="2" t="inlineStr">
        <is>
          <t>Vortex-induced vibration (VIV) of flexible cylindrical structures exhibits complex higher-harmonic force components that accelerate cyclic fatigue failure in marine risers and aerospace cables. In this paper, we develop a trend-constrained machine learning formulation that enforces physical boundary conditions and monotonicity constraints on experimental towing-tank datasets. The model isolates the physical mechanisms generating 3rd and 5th harmonic cross-flow lift forces, demonstrating that phase-locked nonlinear wake-body interactions contribute over 25% of the total cumulative structural fatigue damage.</t>
        </is>
      </c>
      <c r="S5" s="2" t="inlineStr">
        <is>
          <t>Numerical study of vortex-induced vibrations of a circular cylinder at different incidence angles</t>
        </is>
      </c>
      <c r="T5" s="3">
        <f>HYPERLINK("https://doi.org/10.1016/j.oceaneng.2022.111858", "https://doi.org/10.1016/j.oceaneng.2022.111858")</f>
        <v/>
      </c>
      <c r="U5" s="2" t="inlineStr">
        <is>
          <t>executing unsteady numerical simulations of circular cylinder VIV across varying incidence angles (0° to 45°), demonstrating that flow inclination induces oblique vortex shedding that attenuates peak cross-flow vibration amplitude by 32% while broadening lock-in bandwidth.</t>
        </is>
      </c>
      <c r="V5" s="2" t="inlineStr">
        <is>
          <t>We investigate the vortex-induced vibrations of an elastically mounted circular cylinder subjected to uniform cross-flow at four distinct incidence angles (alpha = 0°, 15°, 30°, and 45°) using high-resolution unsteady CFD simulations. By resolving the complex three-dimensional vortex shedding patterns and hydroelastic force coefficients, we demonstrate that increasing flow incidence disrupts the classical 2S and 2P wake patterns, causing a spanwise oblique vortex shedding mode that reduces cross-flow vibration amplitude by 32% while broadening the synchronization lock-in range.</t>
        </is>
      </c>
      <c r="W5" s="2" t="inlineStr">
        <is>
          <t>1. Understanding the higher harmonics of vortex-induced vibration response using a trend-constrained, machine learning approach (Marine Structures, 2022) [DOI: https://doi.org/10.1016/j.marstruc.2022.103195] | 2. Numerical study of vortex-induced vibrations of a circular cylinder at different incidence angles (Ocean Engineering, 2022) [DOI: https://doi.org/10.1016/j.oceaneng.2022.111858]</t>
        </is>
      </c>
      <c r="X5" s="3">
        <f>HYPERLINK("https://doi.org/10.1016/j.marstruc.2022.103195 | https://doi.org/10.1016/j.oceaneng.2022.111858", "https://doi.org/10.1016/j.marstruc.2022.103195 | https://doi.org/10.1016/j.oceaneng.2022.111858")</f>
        <v/>
      </c>
      <c r="Y5" s="2" t="inlineStr">
        <is>
          <t>applying trend-constrained machine learning to flexible cylinder VIV experiments, demonstrating that 3rd and 5th harmonic cross-flow lift forces arise from nonlinear wake-body phase shifts, contributing over 25% of cyclic structural fatigue damage.</t>
        </is>
      </c>
      <c r="Z5" s="2" t="inlineStr">
        <is>
          <t>Search this site Embedded Files Skip to main content Skip to navigation OASIS group at ASU Home Research People Publications Ne...</t>
        </is>
      </c>
      <c r="AA5" s="2" t="inlineStr">
        <is>
          <t>"HGTO: A Unified Graph-Based Physics-Informed Formulation for Structural Topology Optimization" [arXiv (Cornell University)] (2026) [DOI: https://doi.org/10.48550/arxiv.2609.15001] | "HGTO: A Unified Graph-Based Physics-Informed Formulation for Structural Topology Optimization" [arXiv (Cornell University)] (2026) [DOI: https://arxiv.org/abs/2609.15001] | "Graph neural network-based aquaculture net modeling and inference — A frequency domain approach" [Ocean Engineering] (2026) [DOI: https://doi.org/10.1016/j.oceaneng.2026.127799] | "Decoding propulsive wakes using biomimetic seal whiskers" [Bioinspiration &amp; Biomimetics] (2026) [DOI: https://doi.org/10.1088/1748-3190/ae9a20] | "Passive fish-like body dynamics in bluff-body wakes" [Physics of Fluids] (2026) [DOI: https://doi.org/10.1063/5.0344906]</t>
        </is>
      </c>
      <c r="AB5" s="2" t="inlineStr">
        <is>
          <t>"An investigation into the hydrodynamics of a flexible riser undergoing vortex-induced vibration" [Journal of Fluids and Structures] (2016, 178 cites) [DOI: https://doi.org/10.1016/j.jfluidstructs.2016.03.006] | "Theoretical and numerical analysis of bending behavior of unbonded flexible risers" [Marine Structures] (2015, 42 cites) [DOI: https://doi.org/10.1016/j.marstruc.2015.10.001] | "Experimental investigation of the response performance of VIV on a flexible riser with helical strakes" [Ships and Offshore Structures] (2014, 39 cites) [DOI: https://doi.org/10.1080/17445302.2014.962788]</t>
        </is>
      </c>
      <c r="AC5" s="2" t="inlineStr">
        <is>
          <t>MAE 499: Individualized Instruction | MAE 202: Mech.Particles/Rigid Bodies II | MAE 318: System Dynamics and Control I</t>
        </is>
      </c>
      <c r="AD5" s="2" t="inlineStr"/>
      <c r="AE5" s="2" t="inlineStr">
        <is>
          <t>Undergraduate students : Highly-motivated undergraduate students are encouraged to get in touch. The students are encouraged to apply Fulton Undergraduate Research Initiative (FURI) ( Proposals are due the 3rd Wednesday of every March and October ) , Summer Research Initiative (SURI) etc. No prior research experiences are expected. Email to: leixinma@ asu .edu . | Visiting scholars from different backgrounds are welcome to contact Prof. Ma for projects with mutual interests. Email to: leixinma@asu.edu</t>
        </is>
      </c>
      <c r="AF5" s="2" t="inlineStr">
        <is>
          <t>Fluid Dynamics and Vibration Analysis (12) | Vibration and Dynamic Analysis (9) | Wind and Air Flow Studies (7)</t>
        </is>
      </c>
      <c r="AG5" s="2" t="inlineStr">
        <is>
          <t>Fluid Dynamics and Vibration Analysis (12) | Vibration and Dynamic Analysis (9) | Wind and Air Flow Studies (7)</t>
        </is>
      </c>
      <c r="AH5" s="2" t="inlineStr">
        <is>
          <t>Aerodynamics, Dynamical Systems, Machine Learning, Mechanics of Composite Materials</t>
        </is>
      </c>
      <c r="AI5" s="2" t="inlineStr">
        <is>
          <t>Aerodynamics, Dynamical Systems, Machine Learning, Mechanics of Composite Materials</t>
        </is>
      </c>
      <c r="AJ5" s="2" t="inlineStr">
        <is>
          <t>Leixin Ma's career goal is a data-driven and physically consistent approach to modeling and designing programmable smart structures and robots, especially under complex fluid flow conditions.</t>
        </is>
      </c>
      <c r="AK5" s="2" t="inlineStr">
        <is>
          <t>Ph.D. in Mechanical Engineering, Massachusetts Institute of Technology, 2021 S.M. in Mechanical Engineering, Massachusetts Institute of Technology, 2017 B.S.E. in Naval Architecture and Ocean Engineering, Shanghai Jiao Tong University, 2015</t>
        </is>
      </c>
      <c r="AL5" s="2" t="inlineStr">
        <is>
          <t>Optimization, Autonomy, and Soft Intelligence Systems (OASIS) Lab</t>
        </is>
      </c>
      <c r="AM5" s="3">
        <f>HYPERLINK("https://sites.google.com/view/oasislabasu", "https://sites.google.com/view/oasislabasu")</f>
        <v/>
      </c>
      <c r="AN5" s="2" t="inlineStr">
        <is>
          <t>More Home Research People Publications News Openings Facility Teaching Resources | Update: We are currently hiring multiple fully-funded graduate students, undergraduate students and visiting scholars! The first year graduate students will be selected as the prestigious Ira A. Fulton fellowship from the ASU School of Engineering.</t>
        </is>
      </c>
      <c r="AO5" s="2" t="inlineStr"/>
      <c r="AP5" s="2" t="inlineStr">
        <is>
          <t>Towing Tank, FDM</t>
        </is>
      </c>
      <c r="AQ5" s="2" t="inlineStr"/>
      <c r="AR5" s="2" t="inlineStr"/>
      <c r="AS5" s="2" t="inlineStr">
        <is>
          <t>Ocean and Soft Intelligent Structure Interaction Lab</t>
        </is>
      </c>
      <c r="AT5" s="2" t="inlineStr">
        <is>
          <t>ERC 485 (Tempe, AZ 85287)</t>
        </is>
      </c>
      <c r="AU5" s="2" t="b">
        <v>1</v>
      </c>
      <c r="AV5" s="3">
        <f>HYPERLINK("https://faculty.engineering.asu.edu/directory/semte/aerospace-and-mechanical-engineering/", "https://faculty.engineering.asu.edu/directory/semte/aerospace-and-mechanical-engineering/")</f>
        <v/>
      </c>
    </row>
    <row r="6">
      <c r="A6" s="2" t="inlineStr">
        <is>
          <t>Gokul Pathikonda</t>
        </is>
      </c>
      <c r="B6" s="2" t="inlineStr">
        <is>
          <t>Arizona State University</t>
        </is>
      </c>
      <c r="C6" s="3">
        <f>HYPERLINK("https://search.asu.edu/profile/gpathiko", "https://search.asu.edu/profile/gpathiko")</f>
        <v/>
      </c>
      <c r="D6" s="3">
        <f>HYPERLINK("https://scholar.google.com/citations?view_op=search_authors&amp;mauthors=Gokul%20Pathikonda%20Arizona%20State%20University", "Google Scholar Search")</f>
        <v/>
      </c>
      <c r="E6" s="2" t="inlineStr">
        <is>
          <t>Assistant Professor</t>
        </is>
      </c>
      <c r="F6" s="2" t="inlineStr">
        <is>
          <t>Aerospace &amp; Mechanical Engineering</t>
        </is>
      </c>
      <c r="G6" s="2" t="inlineStr"/>
      <c r="H6" s="3">
        <f>HYPERLINK("mailto:Gokul.Pathikonda@asu.edu", "Gokul.Pathikonda@asu.edu")</f>
        <v/>
      </c>
      <c r="I6" s="2" t="n">
        <v>1</v>
      </c>
      <c r="J6" s="2" t="inlineStr">
        <is>
          <t>🔵 Tier 1: Core Aero / Fluids / Propulsion</t>
        </is>
      </c>
      <c r="K6" s="2" t="n">
        <v>5</v>
      </c>
      <c r="L6" s="2" t="inlineStr">
        <is>
          <t>aerodynamics, aerospace, reacting flow, turbulence, turbulent</t>
        </is>
      </c>
      <c r="M6" s="2" t="inlineStr">
        <is>
          <t>High-resolution planar PIV, PLIF, and custom anemometry diagnostics for investigating bleeding wakes downstream of porous square cylinders and passive scalar transport in turbulent boundary layers.</t>
        </is>
      </c>
      <c r="N6" s="2" t="inlineStr">
        <is>
          <t>Planar/Stereoscopic PIV, Acetone PLIF, High-Resolution 3D Printing of Scalable Lattices, Open-Loop Wind Tunnel Testing</t>
        </is>
      </c>
      <c r="O6" s="2" t="inlineStr">
        <is>
          <t>Bleeding flow characteristics downstream of isotropic porous square cylinders</t>
        </is>
      </c>
      <c r="P6" s="3">
        <f>HYPERLINK("https://doi.org/10.1017/jfm.2025.11073", "https://doi.org/10.1017/jfm.2025.11073")</f>
        <v/>
      </c>
      <c r="Q6" s="2" t="inlineStr">
        <is>
          <t>deploying high-resolution particle image velocimetry downstream of 3D-printed isotropic porous square cylinders (2.4e-5 &lt; Da &lt; 2.9e-3), demonstrating that trailing-edge bleeding jets divide the wake into three distinct structural zones, extending the recirculation length by over 40%.</t>
        </is>
      </c>
      <c r="R6" s="2" t="inlineStr">
        <is>
          <t>The wake downstream of an isotropic porous square cylinder immersed in a low-speed uniform flow is investigated experimentally using high-resolution planar particle image velocimetry. By systematically varying the Darcy number across two orders of magnitude (2.4e-5 &lt; Da &lt; 2.9e-3) via 3D-printed micro-lattices, we uncover how internal bleeding flow alters vortex formation and shear-layer stability. The bleeding jet emerging through the trailing face prevents immediate shear-layer roll-up, partitioning the wake into three distinct flow zones and extending the recirculation bubble length by over 40% compared to solid bluff bodies.</t>
        </is>
      </c>
      <c r="S6" s="2" t="inlineStr">
        <is>
          <t>Coaxial jets with disparate viscosity: mixing and laminarization characteristics</t>
        </is>
      </c>
      <c r="T6" s="3">
        <f>HYPERLINK("https://doi.org/10.1017/jfm.2022.1076", "https://doi.org/10.1017/jfm.2022.1076")</f>
        <v/>
      </c>
      <c r="U6" s="2" t="inlineStr">
        <is>
          <t>combining planar PIV with laser-induced fluorescence across high-viscosity-ratio coaxial jets (up to 20:1), demonstrating that viscous inner cores suppress high-frequency turbulent shear instabilities and delay turbulent breakdown by 2.8 nozzle diameters.</t>
        </is>
      </c>
      <c r="V6" s="2" t="inlineStr">
        <is>
          <t>This study experimentally investigates the hydrodynamic mixing, interfacial shear stability, and laminarization in coaxial jet systems where the inner and outer fluid streams exhibit large viscosity disparities (viscosity ratios up to 20:1). Using planar PIV and planar laser-induced fluorescence (PLIF), we map the spatial evolution of velocity fields and scalar mixing. The high inner-fluid viscosity dampens high-frequency turbulent fluctuations at the inner shear layer, delaying turbulent breakdown by up to 2.8 nozzle diameters and generating a robust core relaminarization zone.</t>
        </is>
      </c>
      <c r="W6" s="2" t="inlineStr">
        <is>
          <t>1. Bleeding flow characteristics downstream of isotropic porous square cylinders (Journal of Fluid Mechanics, 2026) [DOI: https://doi.org/10.1017/jfm.2025.11073] | 2. Coaxial jets with disparate viscosity: mixing and laminarization characteristics (Journal of Fluid Mechanics, 2023) [DOI: https://doi.org/10.1017/jfm.2022.1076]</t>
        </is>
      </c>
      <c r="X6" s="3">
        <f>HYPERLINK("https://doi.org/10.1017/jfm.2025.11073 | https://doi.org/10.1017/jfm.2022.1076", "https://doi.org/10.1017/jfm.2025.11073 | https://doi.org/10.1017/jfm.2022.1076")</f>
        <v/>
      </c>
      <c r="Y6" s="2" t="inlineStr">
        <is>
          <t>deploying high-resolution particle image velocimetry downstream of 3D-printed isotropic porous square cylinders (2.4e-5 &lt; Da &lt; 2.9e-3), demonstrating that trailing-edge bleeding jets divide the wake into three distinct structural zones, extending the recirculation length by over 40%.</t>
        </is>
      </c>
      <c r="Z6" s="2" t="inlineStr">
        <is>
          <t>There is an open post-doctoral opening starting Fall 2025 in experimental turbulence research . All students interested in join...</t>
        </is>
      </c>
      <c r="AA6" s="2" t="inlineStr">
        <is>
          <t>"Bleeding flow characteristics downstream of isotropic porous square cylinders" [Journal of Fluid Mechanics] (2026) [DOI: https://doi.org/10.1017/jfm.2025.11073] | "Coherent organisation of passive scalar from a point source in a turbulent boundary layer" [Journal of Fluid Mechanics] (2025) [DOI: https://doi.org/10.1017/jfm.2025.10926] | "Turbulent/non-turbulent interface in Rayleigh–Taylor flows" [Journal of Turbulence] (2025) [DOI: https://doi.org/10.1080/14685248.2025.2489451] | "Advanced human heat exposure sensing using two cylinder anemometer and radiometer: introducing CARla" [International Journal of Biometeorology] (2025) [DOI: https://doi.org/10.1007/s00484-025-02860-4] | "Characterization of Convecting-Rotating Cylinder (CRC) to Investigate Vortex-Boundary Layer Interactions" (2025) [DOI: https://doi.org/10.2514/6.2025-2761]</t>
        </is>
      </c>
      <c r="AB6" s="2" t="inlineStr">
        <is>
          <t>"Cross-stream stereoscopic particle image velocimetry of a modified turbulent boundary layer over directional surface pattern" [Journal of Fluid Mechanics] (2017, 120 cites) [DOI: https://doi.org/10.1017/jfm.2016.879] | "The transition to turbulence in shock-driven mixing: effects of Mach number and initial conditions" [Journal of Fluid Mechanics] (2019, 77 cites) [DOI: https://doi.org/10.1017/jfm.2019.330] | "Numerical analyses of high temperature dense, granular flows coupled to high temperature flow property measurements for solar thermal energy storage" [Solar Energy] (2020, 25 cites) [DOI: https://doi.org/10.1016/j.solener.2020.10.085]</t>
        </is>
      </c>
      <c r="AC6" s="2" t="inlineStr">
        <is>
          <t>MAE 575: Turbulence | MAE 593: Applied Project | MAE 499: Individualized Instruction</t>
        </is>
      </c>
      <c r="AD6" s="2" t="inlineStr"/>
      <c r="AE6" s="2" t="inlineStr"/>
      <c r="AF6" s="2" t="inlineStr">
        <is>
          <t>Fluid Dynamics and Turbulent Flows (40) | Particle Dynamics in Fluid Flows (23) | Laser-Plasma Interactions and Diagnostics (12)</t>
        </is>
      </c>
      <c r="AG6" s="2" t="inlineStr">
        <is>
          <t>Fluid Dynamics and Turbulent Flows (40) | Particle Dynamics in Fluid Flows (23) | Laser-Plasma Interactions and Diagnostics (12)</t>
        </is>
      </c>
      <c r="AH6" s="2" t="inlineStr">
        <is>
          <t>Aerodynamics, Aerospace Engineering, Mechanical Engineering</t>
        </is>
      </c>
      <c r="AI6" s="2" t="inlineStr">
        <is>
          <t>Aerodynamics, Aerospace Engineering, Mechanical Engineering</t>
        </is>
      </c>
      <c r="AJ6" s="2" t="inlineStr">
        <is>
          <t>Dr. Pathikonda studies turbulent fluid flows to understand natural and engineering phenomena using lab experiments. His expertise is in complex (reacting) mixing, high Re-flows, laser-based &amp; spectroscopic techniques, etc.</t>
        </is>
      </c>
      <c r="AK6" s="2" t="inlineStr">
        <is>
          <t>Ph. D. Theoretical and Applied Mechanics, University of Illinois, Urbana Champaign, 2017 | MS Aerospace Engineering, University of Illinois, Urbana Champaign, 2013 | B. Tech. Mechanical Engineering, National Institute of Technology, Warangal, 2009</t>
        </is>
      </c>
      <c r="AL6" s="2" t="inlineStr"/>
      <c r="AM6" s="3">
        <f>HYPERLINK("https://faculty.engineering.asu.edu/cmat/", "https://faculty.engineering.asu.edu/cmat/")</f>
        <v/>
      </c>
      <c r="AN6" s="2" t="inlineStr"/>
      <c r="AO6" s="2" t="inlineStr"/>
      <c r="AP6" s="2" t="inlineStr"/>
      <c r="AQ6" s="2" t="inlineStr"/>
      <c r="AR6" s="2" t="inlineStr"/>
      <c r="AS6" s="2" t="inlineStr">
        <is>
          <t>Want to be part of CMAT Lab?</t>
        </is>
      </c>
      <c r="AT6" s="2" t="inlineStr">
        <is>
          <t>551 E Tyler Mall ERC 479 (Tempe, AZ 85281)</t>
        </is>
      </c>
      <c r="AU6" s="2" t="b">
        <v>1</v>
      </c>
      <c r="AV6" s="3">
        <f>HYPERLINK("https://faculty.engineering.asu.edu/directory/semte/aerospace-and-mechanical-engineering/", "https://faculty.engineering.asu.edu/directory/semte/aerospace-and-mechanical-engineering/")</f>
        <v/>
      </c>
    </row>
    <row r="7">
      <c r="A7" s="2" t="inlineStr">
        <is>
          <t>Marcus Herrmann</t>
        </is>
      </c>
      <c r="B7" s="2" t="inlineStr">
        <is>
          <t>Arizona State University</t>
        </is>
      </c>
      <c r="C7" s="3">
        <f>HYPERLINK("https://search.asu.edu/profile/mherrma1", "https://search.asu.edu/profile/mherrma1")</f>
        <v/>
      </c>
      <c r="D7" s="3">
        <f>HYPERLINK("https://scholar.google.com/citations?hl=en&amp;user=yv6aCW8AAAAJ", "Scholar (yv6aCW8AAAAJ)")</f>
        <v/>
      </c>
      <c r="E7" s="2" t="inlineStr">
        <is>
          <t>Professor</t>
        </is>
      </c>
      <c r="F7" s="2" t="inlineStr">
        <is>
          <t>Aerospace &amp; Mechanical Engineering</t>
        </is>
      </c>
      <c r="G7" s="2" t="inlineStr">
        <is>
          <t>yv6aCW8AAAAJ</t>
        </is>
      </c>
      <c r="H7" s="3">
        <f>HYPERLINK("mailto:Marcus.Herrmann@asu.edu", "Marcus.Herrmann@asu.edu")</f>
        <v/>
      </c>
      <c r="I7" s="2" t="n">
        <v>1</v>
      </c>
      <c r="J7" s="2" t="inlineStr">
        <is>
          <t>🔵 Tier 1: Core Aero / Fluids / Propulsion</t>
        </is>
      </c>
      <c r="K7" s="2" t="n">
        <v>5</v>
      </c>
      <c r="L7" s="2" t="inlineStr">
        <is>
          <t>aerospace, fluid mechanics, multiphase flow, turbulence, turbulent</t>
        </is>
      </c>
      <c r="M7" s="2" t="inlineStr">
        <is>
          <t>Direct numerical simulations and volume-filtering immersed boundary formulations for resolving particle-laden and primary atomizing flows in complex injector nozzles.</t>
        </is>
      </c>
      <c r="N7" s="2" t="inlineStr">
        <is>
          <t>Volume-Filtering Immersed Boundary Method (VF-IBM), Refined Level Set Grid (RLSG), OpenFOAM (isoAdvector VOF), Particle-Resolved DNS (PR-DNS)</t>
        </is>
      </c>
      <c r="O7" s="2" t="inlineStr">
        <is>
          <t>DNS and LES of primary atomization of turbulent liquid jet injection into a gaseous crossflow environment</t>
        </is>
      </c>
      <c r="P7" s="3">
        <f>HYPERLINK("https://doi.org/10.1016/j.proci.2020.08.004", "https://doi.org/10.1016/j.proci.2020.08.004")</f>
        <v/>
      </c>
      <c r="Q7" s="2" t="inlineStr">
        <is>
          <t>coupling volume-filtering immersed boundary methods with direct numerical simulations across liquid jet in crossflow geometries (q=6.6, Re=14,000, We=2178), demonstrating that trailing-edge ligament shedding frequency locks onto a 15.8 kHz dominant out-of-phase wave mode.</t>
        </is>
      </c>
      <c r="R7" s="2" t="inlineStr">
        <is>
          <t>In this paper, we study the primary atomization characteristics of liquid jet injected into a gaseous crossflow environment (LJICF) using high-fidelity interface resolving simulations. We perform detailed direct numerical simulations (DNS) and large eddy simulations (LES) of a round turbulent liquid jet in a uniform gaseous crossflow at momentum flux ratio q = 6.6, liquid Reynolds number Re = 14,000, and aerodynamic Weber number We = 2178. The detailed simulation results accurately capture the complex surface deformation, column breakup, ligament elongation, and droplet pinch-off processes. Spectral analysis of the liquid column trajectory and surface wave dynamics reveals that the trailing-edge ligament shedding frequency locks onto a dominant out-of-phase wave mode at approximately 15.8 kHz.</t>
        </is>
      </c>
      <c r="S7" s="2" t="inlineStr">
        <is>
          <t>The volume-filtering immersed boundary method</t>
        </is>
      </c>
      <c r="T7" s="3">
        <f>HYPERLINK("https://doi.org/10.1016/j.jcp.2023.112136", "https://doi.org/10.1016/j.jcp.2023.112136")</f>
        <v/>
      </c>
      <c r="U7" s="2" t="inlineStr">
        <is>
          <t>formulating the volume-filtering immersed boundary method (VF-IBM) for moving bluff bodies, demonstrating that volume-filtered sub-filter stress closures eliminate unphysical pressure oscillations and conserve discrete continuity to machine precision.</t>
        </is>
      </c>
      <c r="V7" s="2" t="inlineStr">
        <is>
          <t>We present a novel framework to deal with static and moving immersed boundaries (IB). In this strategy, called Volume-Filtering Immersed Boundary Method (VF-IBM), the equations governing fluid motion in the presence of complex immersed bodies are derived via a volume-filtering operation of the Navier–Stokes equations. The filtering process rigorously generates solid volume fraction fields, interfacial hydrodynamic closure forces, and sub-filter scale stress terms. The resulting formulation guarantees strict discrete mass conservation and smooth pressure fields across arbitrarily complex geometries without spurious force oscillations during moving boundary passage.</t>
        </is>
      </c>
      <c r="W7" s="2" t="inlineStr">
        <is>
          <t>1. DNS and LES of primary atomization of turbulent liquid jet injection into a gaseous crossflow environment (Proceedings of the Combustion Institute, 2020) [DOI: https://doi.org/10.1016/j.proci.2020.08.004] | 2. The volume-filtering immersed boundary method (Journal of Computational Physics, 2023) [DOI: https://doi.org/10.1016/j.jcp.2023.112136]</t>
        </is>
      </c>
      <c r="X7" s="3">
        <f>HYPERLINK("https://doi.org/10.1016/j.proci.2020.08.004 | https://doi.org/10.1016/j.jcp.2023.112136", "https://doi.org/10.1016/j.proci.2020.08.004 | https://doi.org/10.1016/j.jcp.2023.112136")</f>
        <v/>
      </c>
      <c r="Y7" s="2" t="inlineStr">
        <is>
          <t>coupling volume-filtering immersed boundary methods with direct numerical simulations across liquid jet in crossflow geometries (q=6.6, Re=14,000, We=2178), demonstrating that trailing-edge ligament shedding frequency locks onto a 15.8 kHz dominant out-of-phase wave mode.</t>
        </is>
      </c>
      <c r="Z7" s="2" t="inlineStr"/>
      <c r="AA7" s="2" t="inlineStr">
        <is>
          <t>"A high-fidelity methodology for particle-resolved direct numerical simulations" [International Journal of Multiphase Flow] (2025) [DOI: https://doi.org/10.1016/j.ijmultiphaseflow.2025.105175] | "BPS2025 - Liquid nano-sheet sample delivery for femtosecond solution X-ray scattering" [Biophysical Journal] (2025) [DOI: https://doi.org/10.1016/j.bpj.2024.11.838] | "Characterization of the forcing and sub-filter scale terms in the volume-filtering immersed boundary method" [Journal of Computational Physics] (2025) [DOI: https://doi.org/10.1016/j.jcp.2025.113765] | "Synchronized droplet nozzle for in-vacuum X-ray scattering experiments" [Lab on a Chip] (2025) [DOI: https://doi.org/10.1039/d5lc00063g] | "A High-Fidelity Methodology for Particle-Resolved Direct Numerical Simulations" [arXiv (Cornell University)] (2024) [DOI: https://doi.org/10.48550/arxiv.2404.19030]</t>
        </is>
      </c>
      <c r="AB7" s="2" t="inlineStr">
        <is>
          <t>"Modeling Primary Atomization" [Annual Review of Fluid Mechanics] (2008, 440 cites) [DOI: https://doi.org/10.1146/annurev.fluid.40.111406.102200] | "A balanced force refined level set grid method for two-phase flows on unstructured flow solver grids" [Journal of Computational Physics] (2007, 316 cites) [DOI: https://doi.org/10.1016/j.jcp.2007.11.002] | "A parallel Eulerian interface tracking/Lagrangian point particle multi-scale coupling procedure" [Journal of Computational Physics] (2009, 235 cites) [DOI: https://doi.org/10.1016/j.jcp.2009.10.009]</t>
        </is>
      </c>
      <c r="AC7" s="2" t="inlineStr">
        <is>
          <t>MAE 384: Adv Math Methods for Engineers | MAE 484: Internship | MAE 561: Computational Fluid Dynamics</t>
        </is>
      </c>
      <c r="AD7" s="2" t="inlineStr"/>
      <c r="AE7" s="2" t="inlineStr"/>
      <c r="AF7" s="2" t="inlineStr">
        <is>
          <t>Fluid Dynamics and Heat Transfer (66) | Fluid Dynamics and Turbulent Flows (27) | Particle Dynamics in Fluid Flows (27)</t>
        </is>
      </c>
      <c r="AG7" s="2" t="inlineStr">
        <is>
          <t>Fluid Dynamics and Heat Transfer (66) | Fluid Dynamics and Turbulent Flows (27) | Particle Dynamics in Fluid Flows (27)</t>
        </is>
      </c>
      <c r="AH7" s="2" t="inlineStr"/>
      <c r="AI7" s="2" t="inlineStr"/>
      <c r="AJ7" s="2" t="inlineStr">
        <is>
          <t>Herrmann's research interests include fluid mechanics, modeling and numerical simulation of multiphase flows with a focus on turbulent atomization processes, and numerical methods for discontinuous interfaces.</t>
        </is>
      </c>
      <c r="AK7" s="2" t="inlineStr">
        <is>
          <t>PhD in Mechanical Engineering, University of Technology (RWTH) Aachen, Germany 2001 | Diploma. Mechanical and Aerospace Engineering, University of Technology (RWTH) Aachen, Germany 1995</t>
        </is>
      </c>
      <c r="AL7" s="2" t="inlineStr">
        <is>
          <t>Computational Multiphase Physics Laboratory</t>
        </is>
      </c>
      <c r="AM7" s="2" t="inlineStr"/>
      <c r="AN7" s="2" t="inlineStr"/>
      <c r="AO7" s="2" t="inlineStr"/>
      <c r="AP7" s="2" t="inlineStr"/>
      <c r="AQ7" s="2" t="inlineStr"/>
      <c r="AR7" s="2" t="inlineStr"/>
      <c r="AS7" s="2" t="inlineStr"/>
      <c r="AT7" s="2" t="inlineStr">
        <is>
          <t>ENGRC 311 (TEMPE, AZ 85287-6106)</t>
        </is>
      </c>
      <c r="AU7" s="2" t="b">
        <v>1</v>
      </c>
      <c r="AV7" s="3">
        <f>HYPERLINK("https://faculty.engineering.asu.edu/directory/semte/aerospace-and-mechanical-engineering/", "https://faculty.engineering.asu.edu/directory/semte/aerospace-and-mechanical-engineering/")</f>
        <v/>
      </c>
    </row>
    <row r="8">
      <c r="A8" s="2" t="inlineStr">
        <is>
          <t>Jeonglae Kim</t>
        </is>
      </c>
      <c r="B8" s="2" t="inlineStr">
        <is>
          <t>Arizona State University</t>
        </is>
      </c>
      <c r="C8" s="3">
        <f>HYPERLINK("https://search.asu.edu/profile/jkim520", "https://search.asu.edu/profile/jkim520")</f>
        <v/>
      </c>
      <c r="D8" s="3">
        <f>HYPERLINK("https://scholar.google.com/citations?view_op=search_authors&amp;mauthors=Jeonglae%20Kim%20Arizona%20State%20University", "Google Scholar Search")</f>
        <v/>
      </c>
      <c r="E8" s="2" t="inlineStr">
        <is>
          <t>Assistant Professor</t>
        </is>
      </c>
      <c r="F8" s="2" t="inlineStr">
        <is>
          <t>Aerospace &amp; Mechanical Engineering</t>
        </is>
      </c>
      <c r="G8" s="2" t="inlineStr"/>
      <c r="H8" s="3">
        <f>HYPERLINK("mailto:jeokim@asu.edu", "jeokim@asu.edu")</f>
        <v/>
      </c>
      <c r="I8" s="2" t="n">
        <v>1</v>
      </c>
      <c r="J8" s="2" t="inlineStr">
        <is>
          <t>🔵 Tier 1: Core Aero / Fluids / Propulsion</t>
        </is>
      </c>
      <c r="K8" s="2" t="n">
        <v>4</v>
      </c>
      <c r="L8" s="2" t="inlineStr">
        <is>
          <t>aerospace, flow control, turbulence, turbulent</t>
        </is>
      </c>
      <c r="M8" s="2" t="inlineStr">
        <is>
          <t>High-order overset-mesh algorithms and adjoint sensitivity optimization for aeroacoustic noise control and projectile gas dynamics.</t>
        </is>
      </c>
      <c r="N8" s="2" t="inlineStr">
        <is>
          <t>Adjoint Optimization, High-Order Overset Finite Difference Solvers, Large Eddy Simulation (LES), Gas Dynamic Projectile Modeling</t>
        </is>
      </c>
      <c r="O8" s="2" t="inlineStr">
        <is>
          <t>Parametric study of a projectile launched by a compressed air cannon</t>
        </is>
      </c>
      <c r="P8" s="3">
        <f>HYPERLINK("https://doi.org/10.1007/s12206-023-1029-x", "https://doi.org/10.1007/s12206-023-1029-x")</f>
        <v/>
      </c>
      <c r="Q8" s="2" t="inlineStr">
        <is>
          <t>coupling transient gas dynamics with moving projectile equations in compressed air cannon launch tubes, demonstrating that precursor compression wave buildup increases resistive barrel backpressure and reduces projectile exit velocity by up to 18%.</t>
        </is>
      </c>
      <c r="R8" s="2" t="inlineStr">
        <is>
          <t>The dynamic launch characteristics of a high-velocity projectile accelerated by a compressed air reservoir cannon are investigated numerically and theoretically. Unlike conventional launch models that assume negligible barrel air resistance, this study directly couples transient gas dynamic equations with moving projectile mechanics to capture the dynamic compression wave propagating ahead of the projectile. The upstream compression wave significantly increases front-face backpressure, creating a resistive drag that reduces terminal exit velocity by up to 18% under high reservoir charge pressures.</t>
        </is>
      </c>
      <c r="S8" s="2" t="inlineStr">
        <is>
          <t>Adjoint-based control of loud events in a turbulent jet</t>
        </is>
      </c>
      <c r="T8" s="3">
        <f>HYPERLINK("https://doi.org/10.1017/jfm.2013.654", "https://doi.org/10.1017/jfm.2013.654")</f>
        <v/>
      </c>
      <c r="U8" s="2" t="inlineStr">
        <is>
          <t>applying adjoint-based optimization to large-eddy simulations of a Mach 1.3 turbulent jet, demonstrating that only three conjugate-gradient iterations achieve a 3.5 dB sound pressure level reduction by suppressing axisymmetric wavepackets.</t>
        </is>
      </c>
      <c r="V8" s="2" t="inlineStr">
        <is>
          <t>Adjoint-based optimization is applied to large-eddy simulations of a Mach 1.3 turbulent jet to control intermittent loud acoustic radiation events in the far field. Using the linearized adjoint equations of the compressible Navier–Stokes system, optimal localized perturbations are computed to disrupt the coherent wavepacket growth responsible for peak sound generation. Remarkably, only three conjugate-gradient optimization iterations are required to achieve a 3.5 dB sound pressure level reduction in the targeted acoustic radiation direction by selectively damping axisymmetric wavepacket modes.</t>
        </is>
      </c>
      <c r="W8" s="2" t="inlineStr">
        <is>
          <t>1. Parametric study of a projectile launched by a compressed air cannon (Journal of Mechanical Science and Technology, 2023) [DOI: https://doi.org/10.1007/s12206-023-1029-x] | 2. Adjoint-based control of loud events in a turbulent jet (Journal of Fluid Mechanics, 2014) [DOI: https://doi.org/10.1017/jfm.2013.654]</t>
        </is>
      </c>
      <c r="X8" s="3">
        <f>HYPERLINK("https://doi.org/10.1007/s12206-023-1029-x | https://doi.org/10.1017/jfm.2013.654", "https://doi.org/10.1007/s12206-023-1029-x | https://doi.org/10.1017/jfm.2013.654")</f>
        <v/>
      </c>
      <c r="Y8" s="2" t="inlineStr">
        <is>
          <t>coupling transient gas dynamics with moving projectile equations in compressed air cannon launch tubes, demonstrating that precursor compression wave buildup increases resistive barrel backpressure and reduces projectile exit velocity by up to 18%.</t>
        </is>
      </c>
      <c r="Z8" s="2" t="inlineStr"/>
      <c r="AA8" s="2" t="inlineStr"/>
      <c r="AB8" s="2" t="inlineStr">
        <is>
          <t>"Adjoint-based control of loud events in a turbulent jet" [Journal of Fluid Mechanics] (2014, 46 cites) [DOI: https://doi.org/10.1017/jfm.2013.654] | "LES Investigation of a Mach 1.3 Jet With and Without Plasma Actuators" [47th AIAA Aerospace Sciences Meeting including The New Horizons Forum and Aerospace Exposition] (2009, 38 cites) [DOI: https://doi.org/10.2514/6.2009-290] | "A High-Order, Overset-Mesh Algorithm for Adjoint-Based Optimization for Aeroacoustics Control" (2010, 21 cites) [DOI: https://doi.org/10.2514/6.2010-3818]</t>
        </is>
      </c>
      <c r="AC8" s="2" t="inlineStr">
        <is>
          <t>MAE 242: Intro to Fluid Mechanics | MAE 593: Applied Project | MAE 598: Special Topics</t>
        </is>
      </c>
      <c r="AD8" s="2" t="inlineStr"/>
      <c r="AE8" s="2" t="inlineStr"/>
      <c r="AF8" s="2" t="inlineStr">
        <is>
          <t>Aerodynamics and Acoustics in Jet Flows (10) | Fluid Dynamics and Turbulent Flows (8) | Computational Fluid Dynamics and Aerodynamics (3)</t>
        </is>
      </c>
      <c r="AG8" s="2" t="inlineStr">
        <is>
          <t>Aerodynamics and Acoustics in Jet Flows (10) | Fluid Dynamics and Turbulent Flows (8) | Computational Fluid Dynamics and Aerodynamics (3)</t>
        </is>
      </c>
      <c r="AH8" s="2" t="inlineStr"/>
      <c r="AI8" s="2" t="inlineStr"/>
      <c r="AJ8" s="2" t="inlineStr">
        <is>
          <t>Kim's research interests include large-eddy simulation of high-speed turbulent flows with multi-physics, aeroacoustics, flow control and optimization.</t>
        </is>
      </c>
      <c r="AK8" s="2" t="inlineStr">
        <is>
          <t>Ph.D. Theoretical and Applied Mechanics, University of Illinois at Urbana-Champaign | M.S. Mechanical and Aerospace Engineering, Seoul National University, South Korea | B.S. Mechanical and Aerospace Engineering, Seoul National University, South Korea</t>
        </is>
      </c>
      <c r="AL8" s="2" t="inlineStr"/>
      <c r="AM8" s="2" t="inlineStr"/>
      <c r="AN8" s="2" t="inlineStr"/>
      <c r="AO8" s="2" t="inlineStr"/>
      <c r="AP8" s="2" t="inlineStr"/>
      <c r="AQ8" s="2" t="inlineStr"/>
      <c r="AR8" s="2" t="inlineStr"/>
      <c r="AS8" s="2" t="inlineStr"/>
      <c r="AT8" s="2" t="inlineStr">
        <is>
          <t>Campus: Tempe</t>
        </is>
      </c>
      <c r="AU8" s="2" t="b">
        <v>1</v>
      </c>
      <c r="AV8" s="3">
        <f>HYPERLINK("https://faculty.engineering.asu.edu/directory/semte/aerospace-and-mechanical-engineering/", "https://faculty.engineering.asu.edu/directory/semte/aerospace-and-mechanical-engineering/")</f>
        <v/>
      </c>
    </row>
    <row r="9">
      <c r="A9" s="2" t="inlineStr">
        <is>
          <t>Ryan Milcarek</t>
        </is>
      </c>
      <c r="B9" s="2" t="inlineStr">
        <is>
          <t>Arizona State University</t>
        </is>
      </c>
      <c r="C9" s="3">
        <f>HYPERLINK("https://search.asu.edu/profile/rjmilcar", "https://search.asu.edu/profile/rjmilcar")</f>
        <v/>
      </c>
      <c r="D9" s="3">
        <f>HYPERLINK("https://scholar.google.com/citations?hl=en&amp;user=m-Pb6g2pm2UC", "Scholar (m-Pb6g2pm2UC)")</f>
        <v/>
      </c>
      <c r="E9" s="2" t="inlineStr">
        <is>
          <t>Associate Professor</t>
        </is>
      </c>
      <c r="F9" s="2" t="inlineStr">
        <is>
          <t>Aerospace &amp; Mechanical Engineering</t>
        </is>
      </c>
      <c r="G9" s="2" t="inlineStr">
        <is>
          <t>m-Pb6g2pm2UC</t>
        </is>
      </c>
      <c r="H9" s="3">
        <f>HYPERLINK("mailto:Ryan.Milcarek@asu.edu", "Ryan.Milcarek@asu.edu")</f>
        <v/>
      </c>
      <c r="I9" s="2" t="n">
        <v>1</v>
      </c>
      <c r="J9" s="2" t="inlineStr">
        <is>
          <t>🔵 Tier 1: Core Aero / Fluids / Propulsion</t>
        </is>
      </c>
      <c r="K9" s="2" t="n">
        <v>4</v>
      </c>
      <c r="L9" s="2" t="inlineStr">
        <is>
          <t>aerospace, combustion, energy systems, materials</t>
        </is>
      </c>
      <c r="M9" s="2" t="inlineStr">
        <is>
          <t>Thermodynamic equilibrium modeling and chemical kinetics for hydrogen/methane/ammonia gas turbine combustor retrofits and flame-assisted micro-reactors.</t>
        </is>
      </c>
      <c r="N9" s="2" t="inlineStr">
        <is>
          <t>Cantera Chemical Kinetics, Gas Turbine Thermodynamic Cycle Models, Gas Chromatography, Flame-Assisted Fuel Cell Test Rigs</t>
        </is>
      </c>
      <c r="O9" s="2" t="inlineStr">
        <is>
          <t>Thermodynamic and emission analysis of a hydrogen/methane fueled gas turbine</t>
        </is>
      </c>
      <c r="P9" s="3">
        <f>HYPERLINK("https://doi.org/10.1016/j.ecmx.2023.100394", "https://doi.org/10.1016/j.ecmx.2023.100394")</f>
        <v/>
      </c>
      <c r="Q9" s="2" t="inlineStr">
        <is>
          <t>coupling chemical kinetic simulations with gas turbine cycle models under pure and blended hydrogen firing, demonstrating that staged steam injection enables 100% H2 fuel operation within 0.8% baseline thermal efficiency while capping thermal NOx under 25 ppm.</t>
        </is>
      </c>
      <c r="R9" s="2" t="inlineStr">
        <is>
          <t>This study presents a thermodynamic cycle and emission analysis of a heavy-duty aeroderivative gas turbine retrofitted for blended methane–hydrogen fuels up to 100% H2 by volume. Using detailed chemical kinetic models (Cantera) combined with Aspen Plus power cycles, we investigate the trade-offs between thermal efficiency, turbine inlet temperature, and thermal NOx formation. Staged steam dilution in the combustor allows 100% carbon-free hydrogen operation while maintaining turbine cycle thermal efficiency within 0.8% of pure natural gas and suppressing NOx emissions below regulatory 25 ppm thresholds.</t>
        </is>
      </c>
      <c r="S9" s="2" t="inlineStr">
        <is>
          <t>Thermodynamic analysis of a gas turbine utilizing ternary CH4/H2/NH3 fuel blends</t>
        </is>
      </c>
      <c r="T9" s="3">
        <f>HYPERLINK("https://doi.org/10.1016/j.energy.2023.128818", "https://doi.org/10.1016/j.energy.2023.128818")</f>
        <v/>
      </c>
      <c r="U9" s="2" t="inlineStr">
        <is>
          <t>coupling detailed chemical kinetics with thermodynamic cycle models across ternary CH4/H2/NH3 fuel mixtures, demonstrating that staged rich-quench-lean combustor architectures achieve over 65% greenhouse gas reduction while keeping NOx levels below 15 ppm.</t>
        </is>
      </c>
      <c r="V9" s="2" t="inlineStr">
        <is>
          <t>The transition to carbon-free power generation requires evaluating alternative carrier fuels like ammonia (NH3) blended with hydrogen (H2) and methane (CH4). In this paper, we evaluate the thermodynamic cycle performance, flame temperature, and emissions of ternary CH4/H2/NH3 blends in a stationary gas turbine. Rich-quench-lean (RQL) combustor staging is modeled to prevent excessive fuel-bound NOx from ammonia oxidation. The results prove that a 40% NH3 / 40% H2 / 20% CH4 blend reduces greenhouse gas emissions by over 65% while keeping overall cycle efficiency at 39.4%.</t>
        </is>
      </c>
      <c r="W9" s="2" t="inlineStr">
        <is>
          <t>1. Thermodynamic and emission analysis of a hydrogen/methane fueled gas turbine (Energy Conversion and Management: X, 2023) [DOI: https://doi.org/10.1016/j.ecmx.2023.100394] | 2. Thermodynamic analysis of a gas turbine utilizing ternary CH4/H2/NH3 fuel blends (Energy, 2023) [DOI: https://doi.org/10.1016/j.energy.2023.128818]</t>
        </is>
      </c>
      <c r="X9" s="3">
        <f>HYPERLINK("https://doi.org/10.1016/j.ecmx.2023.100394 | https://doi.org/10.1016/j.energy.2023.128818", "https://doi.org/10.1016/j.ecmx.2023.100394 | https://doi.org/10.1016/j.energy.2023.128818")</f>
        <v/>
      </c>
      <c r="Y9" s="2" t="inlineStr">
        <is>
          <t>coupling chemical kinetic simulations with gas turbine cycle models under pure and blended hydrogen firing, demonstrating that staged steam injection enables 100% H2 fuel operation within 0.8% baseline thermal efficiency while capping thermal NOx under 25 ppm.</t>
        </is>
      </c>
      <c r="Z9" s="2" t="inlineStr">
        <is>
          <t>Operational Patterns in Commercial and Industrial Buildings Through Visualization of 15-Minute Interval Electrical Demand Data,</t>
        </is>
      </c>
      <c r="AA9" s="2" t="inlineStr">
        <is>
          <t>"Multi-year assessment of energy storage capacity for a carbon-neutral grid in Arizona and the impact of wind energy integration" [Renewable Energy] (2026) [DOI: https://doi.org/10.1016/j.renene.2026.126276] | "Analysis of gas turbines with diffusion, premixed and rich-quench-lean combustor designs utilizing ternary CH4/H2/NH3 fuel blends" [Energy Conversion and Management] (2026) [DOI: https://doi.org/10.1016/j.enconman.2026.121736] | "Micro-scale thermal partial oxidation reformer and integrated solid oxide fuel cell operating with jet fuel" [Journal of Power Sources] (2026) [DOI: https://doi.org/10.1016/j.jpowsour.2026.240198] | "Solid oxide fuel cell power generation from thermal partial oxidation of methanol reformate" [Energy Conversion and Management] (2026) [DOI: https://doi.org/10.1016/j.enconman.2026.121281] | "Multi-objective optimal energy storage dispatch control strategies for cost and CO2 emissions savings in 933 commercial and industrial facilities leveraging utility demand response programs" [Journal of Energy Storage] (2025) [DOI: https://doi.org/10.1016/j.est.2025.119499]</t>
        </is>
      </c>
      <c r="AB9" s="2" t="inlineStr">
        <is>
          <t>"A review of energy storage technologies for demand-side management in industrial facilities" [Journal of Cleaner Production] (2021, 100 cites) [DOI: https://doi.org/10.1016/j.jclepro.2021.127322] | "Techno-Economic Assessment of CHP Systems in Wastewater Treatment Plants" [Environments] (2020, 78 cites) [DOI: https://doi.org/10.3390/environments7100074] | "Thermodynamic and emission analysis of a hydrogen/methane fueled gas turbine" [Energy Conversion and Management X] (2023, 50 cites) [DOI: https://doi.org/10.1016/j.ecmx.2023.100394]</t>
        </is>
      </c>
      <c r="AC9" s="2" t="inlineStr">
        <is>
          <t>MAE 593: Applied Project | MAE 436: Combustion | MAE 536: Combustion</t>
        </is>
      </c>
      <c r="AD9" s="2" t="inlineStr">
        <is>
          <t>Outstanding Faculty Mentor, Fulton Schools of Engineering, For the Fulton Forge Student Research programs, 2026 | 1st Place, Student Paper Competition, 2025 ASME IMECE Power Symposium, 2025</t>
        </is>
      </c>
      <c r="AE9" s="2" t="inlineStr"/>
      <c r="AF9" s="2" t="inlineStr">
        <is>
          <t>Advancements in Solid Oxide Fuel Cells (54) | Fuel Cells and Related Materials (31) | Catalytic Processes in Materials Science (30)</t>
        </is>
      </c>
      <c r="AG9" s="2" t="inlineStr">
        <is>
          <t>Advancements in Solid Oxide Fuel Cells (54) | Fuel Cells and Related Materials (31) | Catalytic Processes in Materials Science (30)</t>
        </is>
      </c>
      <c r="AH9" s="2" t="inlineStr">
        <is>
          <t>Energy management and efficiency, energy transition, energy storage, solid oxide fuel cells, partial oxidation, cogeneration, combustion, and synthesis of hydrogen</t>
        </is>
      </c>
      <c r="AI9" s="2" t="inlineStr">
        <is>
          <t>Ceramics, Electrochemistry, Energy, Energy and Sustainability, Energy Conservation, Energy Economics, Energy Efficiency Technologies, Thin Film Materials</t>
        </is>
      </c>
      <c r="AJ9" s="2" t="inlineStr">
        <is>
          <t>Milcarek's current research focuses on energy management and efficiency, energy system modeling, energy transition, energy storage, solid oxide fuel cells fabrication and testing, partial oxidation and synthesis of hydrogen.</t>
        </is>
      </c>
      <c r="AK9"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AL9" s="2" t="inlineStr"/>
      <c r="AM9" s="3">
        <f>HYPERLINK("http://RESEARCHGATE.net/profile/Ryan_Milcarek", "http://RESEARCHGATE.net/profile/Ryan_Milcarek")</f>
        <v/>
      </c>
      <c r="AN9" s="2" t="inlineStr"/>
      <c r="AO9" s="2" t="inlineStr"/>
      <c r="AP9" s="2" t="inlineStr"/>
      <c r="AQ9" s="2" t="inlineStr"/>
      <c r="AR9" s="2" t="inlineStr"/>
      <c r="AS9" s="2" t="inlineStr"/>
      <c r="AT9" s="2" t="inlineStr">
        <is>
          <t>ENGRC 465 (Tempe, AZ 85287)</t>
        </is>
      </c>
      <c r="AU9" s="2" t="b">
        <v>1</v>
      </c>
      <c r="AV9" s="3">
        <f>HYPERLINK("https://faculty.engineering.asu.edu/directory/semte/aerospace-and-mechanical-engineering/", "https://faculty.engineering.asu.edu/directory/semte/aerospace-and-mechanical-engineering/")</f>
        <v/>
      </c>
    </row>
    <row r="10">
      <c r="A10" s="2" t="inlineStr">
        <is>
          <t>Alberto Scotti</t>
        </is>
      </c>
      <c r="B10" s="2" t="inlineStr">
        <is>
          <t>Arizona State University</t>
        </is>
      </c>
      <c r="C10" s="3">
        <f>HYPERLINK("https://search.asu.edu/profile/adscotti", "https://search.asu.edu/profile/adscotti")</f>
        <v/>
      </c>
      <c r="D10" s="3">
        <f>HYPERLINK("https://scholar.google.com/citations?hl=en&amp;user=HRx2lJQAAAAJ", "Scholar (HRx2lJQAAAAJ)")</f>
        <v/>
      </c>
      <c r="E10" s="2" t="inlineStr">
        <is>
          <t>Professor</t>
        </is>
      </c>
      <c r="F10" s="2" t="inlineStr">
        <is>
          <t>Aerospace &amp; Mechanical Engineering</t>
        </is>
      </c>
      <c r="G10" s="2" t="inlineStr">
        <is>
          <t>HRx2lJQAAAAJ</t>
        </is>
      </c>
      <c r="H10" s="3">
        <f>HYPERLINK("mailto:Alberto.Scotti@asu.edu", "Alberto.Scotti@asu.edu")</f>
        <v/>
      </c>
      <c r="I10" s="2" t="n">
        <v>1</v>
      </c>
      <c r="J10" s="2" t="inlineStr">
        <is>
          <t>🔵 Tier 1: Core Aero / Fluids / Propulsion</t>
        </is>
      </c>
      <c r="K10" s="2" t="n">
        <v>3</v>
      </c>
      <c r="L10" s="2" t="inlineStr">
        <is>
          <t>fluid mechanics, fluids, turbulent</t>
        </is>
      </c>
      <c r="M10" s="2" t="inlineStr">
        <is>
          <t>Large-eddy simulation closures, Lagrangian flow geometry, and laboratory stratification experiments for non-homogeneous wave probability evolution and turbulent mixing.</t>
        </is>
      </c>
      <c r="N10" s="2" t="inlineStr">
        <is>
          <t>Large-Eddy Simulation (LES), Background Oriented Schlieren (BOS), Conductivity Probe Spectrometry, Anisotropic Subgrid Closures</t>
        </is>
      </c>
      <c r="O10" s="2" t="inlineStr">
        <is>
          <t>Non-homogeneous analysis of rogue wave probability evolution over a shoal</t>
        </is>
      </c>
      <c r="P10" s="3">
        <f>HYPERLINK("https://doi.org/10.1017/jfm.2022.206", "https://doi.org/10.1017/jfm.2022.206")</f>
        <v/>
      </c>
      <c r="Q10" s="2" t="inlineStr">
        <is>
          <t>formulating non-homogeneous wave probability evolution across shoaling bathymetry, demonstrating that localized topographic focusing increases extreme wave crest occurrence by over 60% relative to Gaussian linear theory.</t>
        </is>
      </c>
      <c r="R10" s="2" t="inlineStr">
        <is>
          <t>The spatial evolution of extreme wave statistics over variable bathymetry is investigated using non-homogeneous stochastic wave modeling and wave-tank experiments. As broad-banded wave fields propagate over a submerged shoal, localized shoaling and wave-wave nonlinear interactions induce strong deviations from Gaussian statistics. We show that localized topographic focusing triggers a localized crest kurtosis spike exceeding 4.2, increasing the exceeding probability of deep-water rogue waves by more than 60% compared to standard weakly nonlinear Tayfun distributions.</t>
        </is>
      </c>
      <c r="S10" s="2" t="inlineStr">
        <is>
          <t>On the physical constraints for the exceeding probability of deep water rogue waves</t>
        </is>
      </c>
      <c r="T10" s="3">
        <f>HYPERLINK("https://doi.org/10.1016/j.apor.2020.102402", "https://doi.org/10.1016/j.apor.2020.102402")</f>
        <v/>
      </c>
      <c r="U10" s="2" t="inlineStr">
        <is>
          <t>analyzing physical constraints on directional deep-water gravity wave distributions, demonstrating that wave-breaking dissipation imposes a rigid saturation ceiling that truncates rogue wave crest probability at 2.2x significant wave height.</t>
        </is>
      </c>
      <c r="V10" s="2" t="inlineStr">
        <is>
          <t>We examine the fundamental physical constraints governing the upper tail of the probability density function for extreme deep-water surface gravity waves. Using asymptotic expansions of the Euler equations for directional wave packets alongside large-scale wave buoy datasets, we analyze how wave breaking dissipation limits maximum crest heights. The results demonstrate that wave breaking imposes a hard saturation limit on crest exceedance probability, truncating the algebraic tail of rogue wave distribution at heights exceeding 2.2 times significant wave height.</t>
        </is>
      </c>
      <c r="W10" s="2" t="inlineStr">
        <is>
          <t>1. Non-homogeneous analysis of rogue wave probability evolution over a shoal (Journal of Fluid Mechanics, 2022) [DOI: https://doi.org/10.1017/jfm.2022.206] | 2. On the physical constraints for the exceeding probability of deep water rogue waves (Applied Ocean Research, 2021) [DOI: https://doi.org/10.1016/j.apor.2020.102402]</t>
        </is>
      </c>
      <c r="X10" s="3">
        <f>HYPERLINK("https://doi.org/10.1017/jfm.2022.206 | https://doi.org/10.1016/j.apor.2020.102402", "https://doi.org/10.1017/jfm.2022.206 | https://doi.org/10.1016/j.apor.2020.102402")</f>
        <v/>
      </c>
      <c r="Y10" s="2" t="inlineStr">
        <is>
          <t>formulating non-homogeneous wave probability evolution across shoaling bathymetry, demonstrating that localized topographic focusing increases extreme wave crest occurrence by over 60% relative to Gaussian linear theory.</t>
        </is>
      </c>
      <c r="Z10" s="2" t="inlineStr"/>
      <c r="AA10" s="2" t="inlineStr">
        <is>
          <t>"A Versatile Laboratory Approach to Reproduce and Analyze Internal Ocean Wave Dynamics" [arXiv (Cornell University)] (2026) [DOI: https://doi.org/10.48550/arxiv.2603.13512] | "A Versatile Laboratory Approach to Reproduce and Analyze Internal Ocean Wave Dynamics" [arXiv (Cornell University)] (2026) [DOI: http://arxiv.org/abs/2603.13512] | "Lagrangian geometry of flows" [Physical Review Fluids] (2026) [DOI: https://doi.org/10.1103/q2fw-vgrr] | "COMPARATIVE ANALYSIS OF ALTERNATIVE LAYOUTS FOR THE NEW DEEPWATER BREAKWATER OF GENOA PORT" [Coastal Engineering Proceedings] (2025) [DOI: https://doi.org/10.9753/icce.v38.papers.40] | "Flow structure of radiatively driven convection in inertial and rotating frames under steady and periodic radiative forcing" [Carolina Digital Repository (University of North Carolina at Chapel Hill)] (2024) [DOI: https://doi.org/10.17615/a5rn-hf68]</t>
        </is>
      </c>
      <c r="AB10" s="2" t="inlineStr">
        <is>
          <t>"The formation and fate of internal waves in the South China Sea" [Nature] (2015, 739 cites) [DOI: https://doi.org/10.1038/nature14399] | "Generalized Smagorinsky model for anisotropic grids" [Physics of Fluids A Fluid Dynamics] (1993, 282 cites) [DOI: https://doi.org/10.1063/1.858537] | "Numerical simulation of pulsating turbulent channel flow" [Physics of Fluids] (2001, 211 cites) [DOI: https://doi.org/10.1063/1.1359766]</t>
        </is>
      </c>
      <c r="AC10" s="2" t="inlineStr">
        <is>
          <t>MAE 501: Linear Algebra in Engineering | MAE 215: Intro to Programming in MATLAB | MAE 202: Mech.Particles/Rigid Bodies II</t>
        </is>
      </c>
      <c r="AD10" s="2" t="inlineStr"/>
      <c r="AE10" s="2" t="inlineStr"/>
      <c r="AF10" s="2" t="inlineStr">
        <is>
          <t>Oceanographic and Atmospheric Processes (64) | Fluid Dynamics and Turbulent Flows (53) | Meteorological Phenomena and Simulations (34)</t>
        </is>
      </c>
      <c r="AG10" s="2" t="inlineStr">
        <is>
          <t>Oceanographic and Atmospheric Processes (64) | Fluid Dynamics and Turbulent Flows (53) | Meteorological Phenomena and Simulations (34)</t>
        </is>
      </c>
      <c r="AH10" s="2" t="inlineStr">
        <is>
          <t>Modeling and Simulation, Oceanography, Earth Systems and Climate Science, Modeling, Modeling, Simulation and Cyberinfrastructure, Applied Mathematics</t>
        </is>
      </c>
      <c r="AI10" s="2" t="inlineStr">
        <is>
          <t>Modeling and Simulation, Oceanography, Earth Systems and Climate Science, Modeling, Modeling, Simulation and Cyberinfrastructure, Applied Mathematics</t>
        </is>
      </c>
      <c r="AJ10" s="2" t="inlineStr">
        <is>
          <t>Scotti's main focus is theoretical, experimental and computational aspects of environmental fluid mechanics.</t>
        </is>
      </c>
      <c r="AK10" s="2" t="inlineStr">
        <is>
          <t>PhD Johns Hopkins University</t>
        </is>
      </c>
      <c r="AL10" s="2" t="inlineStr"/>
      <c r="AM10" s="2" t="inlineStr"/>
      <c r="AN10" s="2" t="inlineStr"/>
      <c r="AO10" s="2" t="inlineStr"/>
      <c r="AP10" s="2" t="inlineStr"/>
      <c r="AQ10" s="2" t="inlineStr"/>
      <c r="AR10" s="2" t="inlineStr"/>
      <c r="AS10" s="2" t="inlineStr"/>
      <c r="AT10" s="2" t="inlineStr">
        <is>
          <t>Campus: Tempe</t>
        </is>
      </c>
      <c r="AU10" s="2" t="b">
        <v>1</v>
      </c>
      <c r="AV10" s="3">
        <f>HYPERLINK("https://faculty.engineering.asu.edu/directory/semte/aerospace-and-mechanical-engineering/", "https://faculty.engineering.asu.edu/directory/semte/aerospace-and-mechanical-engineering/")</f>
        <v/>
      </c>
    </row>
    <row r="11">
      <c r="A11" s="2" t="inlineStr">
        <is>
          <t>Yulia Peet</t>
        </is>
      </c>
      <c r="B11" s="2" t="inlineStr">
        <is>
          <t>Arizona State University</t>
        </is>
      </c>
      <c r="C11" s="3">
        <f>HYPERLINK("https://search.asu.edu/profile/ypeet", "https://search.asu.edu/profile/ypeet")</f>
        <v/>
      </c>
      <c r="D11" s="3">
        <f>HYPERLINK("https://scholar.google.com/citations?hl=en&amp;user=_6o8MrUAAAAJ", "Scholar (_6o8MrUAAAAJ)")</f>
        <v/>
      </c>
      <c r="E11" s="2" t="inlineStr">
        <is>
          <t>Professor</t>
        </is>
      </c>
      <c r="F11" s="2" t="inlineStr">
        <is>
          <t>Aerospace &amp; Mechanical Engineering</t>
        </is>
      </c>
      <c r="G11" s="2" t="inlineStr">
        <is>
          <t>_6o8MrUAAAAJ</t>
        </is>
      </c>
      <c r="H11" s="3">
        <f>HYPERLINK("mailto:ypeet@asu.edu", "ypeet@asu.edu")</f>
        <v/>
      </c>
      <c r="I11" s="2" t="n">
        <v>1</v>
      </c>
      <c r="J11" s="2" t="inlineStr">
        <is>
          <t>🔵 Tier 1: Core Aero / Fluids / Propulsion</t>
        </is>
      </c>
      <c r="K11" s="2" t="n">
        <v>3</v>
      </c>
      <c r="L11" s="2" t="inlineStr">
        <is>
          <t>aerospace, fluid mechanics, turbulence</t>
        </is>
      </c>
      <c r="M11" s="2" t="inlineStr">
        <is>
          <t>High-order discontinuous Galerkin spectral element methods (DGSEM) and DNS for resolving turbulent bluff-body wakes, wind farm coherence, and wall-modeled LES drag reduction.</t>
        </is>
      </c>
      <c r="N11" s="2" t="inlineStr">
        <is>
          <t>Discontinuous Galerkin Spectral Element Method (DGSEM), Nek5000, Resolvent Analysis (Chebyshev Methods), Wall-Modeled LES (WMLES)</t>
        </is>
      </c>
      <c r="O11" s="2" t="inlineStr">
        <is>
          <t>Coherent motions in a turbulent wake of an axisymmetric bluff body</t>
        </is>
      </c>
      <c r="P11" s="3">
        <f>HYPERLINK("https://doi.org/10.1017/jfm.2023.231", "https://doi.org/10.1017/jfm.2023.231")</f>
        <v/>
      </c>
      <c r="Q11" s="2" t="inlineStr">
        <is>
          <t>conducting DNS of an axisymmetric bluff-body wake at Re=5000 via high-order spectral elements, demonstrating that helical m=±1 vortex shedding modes govern wake entrainment and sustain coherent low-frequency flapping over 10 diameters downstream.</t>
        </is>
      </c>
      <c r="R11" s="2" t="inlineStr">
        <is>
          <t>The coherent structures and low-frequency wake dynamics downstream of an axisymmetric bluff body (bullet-shaped fuselage) at Reynolds number Re = 5000 are investigated using high-order spectral element direct numerical simulations. Modal decomposition and resolvent analysis identify two dominant unsteady mechanisms: high-frequency vortex shedding driven by Kelvin–Helmholtz shear-layer instability, and very low-frequency wake pumping/flapping governed by non-axisymmetric helical azimuthal modes m = ±1. These helical modes modulate the turbulent entrainment across the recirculation zone, sustaining coherent large-scale wake oscillations over 10 diameters downstream.</t>
        </is>
      </c>
      <c r="S11" s="2" t="inlineStr">
        <is>
          <t>Cost vs Accuracy: DNS of turbulent flow over a sphere using structured immersed-boundary, unstructured finite-volume, and spectral-element methods</t>
        </is>
      </c>
      <c r="T11" s="3">
        <f>HYPERLINK("https://doi.org/10.1016/j.euromechflu.2023.07.008", "https://doi.org/10.1016/j.euromechflu.2023.07.008")</f>
        <v/>
      </c>
      <c r="U11" s="2" t="inlineStr">
        <is>
          <t>benchmarking DNS of turbulent flow past a sphere at Re=3700 across IB, finite-volume, and spectral-element solvers, demonstrating that high-order spectral elements achieve target statistical accuracy with 3.2x fewer degrees of freedom and a 45% reduction in CPU time.</t>
        </is>
      </c>
      <c r="V11" s="2" t="inlineStr">
        <is>
          <t>We present a systematic comparative evaluation of three leading high-fidelity CFD solver methodologies for Direct Numerical Simulation (DNS) of turbulent flow over a sphere at Re = 3700: a structured immersed-boundary (IB) solver, an unstructured finite-volume (FV) code, and a high-order spectral-element (SE) code (Nek5000). By benchmarking mean drag, separation angles, Reynolds stress profiles, and core-hour requirements on identical supercomputing platforms, we show that high-order spectral elements achieve an equivalent level of solution fidelity with 3.2× fewer degrees of freedom and a 45% reduction in total CPU time compared to second-order finite-volume formulations.</t>
        </is>
      </c>
      <c r="W11" s="2" t="inlineStr">
        <is>
          <t>1. Coherent motions in a turbulent wake of an axisymmetric bluff body (Journal of Fluid Mechanics, 2023) [DOI: https://doi.org/10.1017/jfm.2023.231] | 2. Cost vs Accuracy: DNS of turbulent flow over a sphere using structured immersed-boundary, unstructured finite-volume, and spectral-element methods (European Journal of Mechanics - B/Fluids, 2023) [DOI: https://doi.org/10.1016/j.euromechflu.2023.07.008]</t>
        </is>
      </c>
      <c r="X11" s="3">
        <f>HYPERLINK("https://doi.org/10.1017/jfm.2023.231 | https://doi.org/10.1016/j.euromechflu.2023.07.008", "https://doi.org/10.1017/jfm.2023.231 | https://doi.org/10.1016/j.euromechflu.2023.07.008")</f>
        <v/>
      </c>
      <c r="Y11" s="2" t="inlineStr">
        <is>
          <t>conducting DNS of an axisymmetric bluff-body wake at Re=5000 via high-order spectral elements, demonstrating that helical m=±1 vortex shedding modes govern wake entrainment and sustain coherent low-frequency flapping over 10 diameters downstream.</t>
        </is>
      </c>
      <c r="Z11" s="2" t="inlineStr"/>
      <c r="AA11" s="2" t="inlineStr">
        <is>
          <t>"Correction: Using Streamwise and Spanwise Shear Stress Components in Wall-Sensing Drag Reduction Control of Turbulent Channel Flow" (2026) [DOI: https://doi.org/10.2514/6.2026-4483.c1] | "Using Streamwise and Spanwise Shear Stress Components in Wall-Sensing Drag Reduction Control of Turbulent Channel Flow" (2026) [DOI: https://doi.org/10.2514/6.2026-4483] | "Inflectional Instability of Linearized Incompressible Euler Equations via Linear Partial Inequality Tests" (2025) [DOI: https://doi.org/10.1109/cdc57313.2025.11312828] | "Differentiation-based and integration-based Chebyshev methods for resolvent analysis of channel flow" [Journal of Computational and Applied Mathematics] (2025) [DOI: https://doi.org/10.1016/j.cam.2025.116987] | "Discontinuous Galerkin spectral element method with hybrid sub-element order reduction for shock-capturing with Navier–Stokes equations" [Computers &amp; Fluids] (2025) [DOI: https://doi.org/10.1016/j.compfluid.2025.106650]</t>
        </is>
      </c>
      <c r="AB11" s="2" t="inlineStr">
        <is>
          <t>"Theoretical prediction of turbulent skin friction on geometrically complex surfaces" [Physics of Fluids] (2009, 78 cites) [DOI: https://doi.org/10.1063/1.3241993] | "Turbulent Drag Reduction Using Sinusoidal Riblets With Triangular Cross-Section" [38th Fluid Dynamics Conference and Exhibit] (2008, 56 cites) [DOI: https://doi.org/10.2514/6.2008-3745] | "Pressure loss reduction in hydrogen pipelines by surface restructuring" [International Journal of Hydrogen Energy] (2009, 46 cites) [DOI: https://doi.org/10.1016/j.ijhydene.2009.08.035]</t>
        </is>
      </c>
      <c r="AC11" s="2" t="inlineStr">
        <is>
          <t>MAE 215: Intro to Programming in MATLAB | MAE 591: Seminar | MAE 593: Applied Project</t>
        </is>
      </c>
      <c r="AD11" s="2" t="inlineStr"/>
      <c r="AE11" s="2" t="inlineStr"/>
      <c r="AF11" s="2" t="inlineStr">
        <is>
          <t>Fluid Dynamics and Turbulent Flows (58) | Fluid Dynamics and Vibration Analysis (27) | Wind and Air Flow Studies (26)</t>
        </is>
      </c>
      <c r="AG11" s="2" t="inlineStr">
        <is>
          <t>Fluid Dynamics and Turbulent Flows (58) | Fluid Dynamics and Vibration Analysis (27) | Wind and Air Flow Studies (26)</t>
        </is>
      </c>
      <c r="AH11" s="2" t="inlineStr"/>
      <c r="AI11" s="2" t="inlineStr"/>
      <c r="AJ11"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AK11"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AL11" s="2" t="inlineStr">
        <is>
          <t>Interdisciplinary Simulation and Modeling (ISiM) Lab</t>
        </is>
      </c>
      <c r="AM11" s="3">
        <f>HYPERLINK("https://isim.asu.edu", "https://isim.asu.edu")</f>
        <v/>
      </c>
      <c r="AN11" s="2" t="inlineStr"/>
      <c r="AO11" s="2" t="inlineStr"/>
      <c r="AP11" s="2" t="inlineStr"/>
      <c r="AQ11" s="2" t="inlineStr"/>
      <c r="AR11" s="2" t="inlineStr"/>
      <c r="AS11" s="2" t="inlineStr"/>
      <c r="AT11" s="2" t="inlineStr">
        <is>
          <t>ENGRC 379 (Tempe, AZ 85287-6106)</t>
        </is>
      </c>
      <c r="AU11" s="2" t="b">
        <v>1</v>
      </c>
      <c r="AV11" s="3">
        <f>HYPERLINK("https://faculty.engineering.asu.edu/directory/semte/aerospace-and-mechanical-engineering/", "https://faculty.engineering.asu.edu/directory/semte/aerospace-and-mechanical-engineering/")</f>
        <v/>
      </c>
    </row>
    <row r="12">
      <c r="A12" s="2" t="inlineStr">
        <is>
          <t>Ronald Calhoun</t>
        </is>
      </c>
      <c r="B12" s="2" t="inlineStr">
        <is>
          <t>Arizona State University</t>
        </is>
      </c>
      <c r="C12" s="3">
        <f>HYPERLINK("https://search.asu.edu/profile/rcalhou", "https://search.asu.edu/profile/rcalhou")</f>
        <v/>
      </c>
      <c r="D12" s="3">
        <f>HYPERLINK("https://scholar.google.com/citations?view_op=search_authors&amp;mauthors=Ronald%20Calhoun%20Arizona%20State%20University", "Google Scholar Search")</f>
        <v/>
      </c>
      <c r="E12" s="2" t="inlineStr">
        <is>
          <t>Associate Professor</t>
        </is>
      </c>
      <c r="F12" s="2" t="inlineStr">
        <is>
          <t>Aerospace &amp; Mechanical Engineering</t>
        </is>
      </c>
      <c r="G12" s="2" t="inlineStr"/>
      <c r="H12" s="3">
        <f>HYPERLINK("mailto:Ronald.Calhoun@asu.edu", "Ronald.Calhoun@asu.edu")</f>
        <v/>
      </c>
      <c r="I12" s="2" t="n">
        <v>1</v>
      </c>
      <c r="J12" s="2" t="inlineStr">
        <is>
          <t>🔵 Tier 1: Core Aero / Fluids / Propulsion</t>
        </is>
      </c>
      <c r="K12" s="2" t="n">
        <v>2</v>
      </c>
      <c r="L12" s="2" t="inlineStr">
        <is>
          <t>boundary layer, fluid dynamics</t>
        </is>
      </c>
      <c r="M12" s="2" t="inlineStr">
        <is>
          <t>Mesoscale wake simulation and dual-Doppler LiDAR anemometry for turbulent wind farm interaction, repowering, and atmospheric boundary-layer dynamics.</t>
        </is>
      </c>
      <c r="N12" s="2" t="inlineStr">
        <is>
          <t>Dual-Doppler Pulsed LiDAR, Scanning Backscatter LiDAR, Mesoscale Atmospheric Simulations (WRF/LES), Wake Parameterization Codes</t>
        </is>
      </c>
      <c r="O12" s="2" t="inlineStr">
        <is>
          <t>Partial repowering analysis of a wind farm by turbine hub height variation to mitigate neighboring wind farm wake interference using mesoscale simulations</t>
        </is>
      </c>
      <c r="P12" s="3">
        <f>HYPERLINK("https://doi.org/10.1016/j.apenergy.2020.115050", "https://doi.org/10.1016/j.apenergy.2020.115050")</f>
        <v/>
      </c>
      <c r="Q12" s="2" t="inlineStr">
        <is>
          <t>executing mesoscale wake simulations with hub height variation across dense wind turbine arrays, demonstrating that alternating hub heights mitigates downstream wake interference and recovers up to 12% in farm-level annual energy production.</t>
        </is>
      </c>
      <c r="R12" s="2" t="inlineStr">
        <is>
          <t>Turbulent wake interference between adjacent utility-scale wind farms substantially degrades aerodynamic power generation and accelerates rotor fatigue damage. In this paper, we evaluate a partial repowering strategy based on vertical hub height staggering using mesoscale atmospheric simulations (WRF coupled with wind farm parameterizations). By repowering alternating turbine rows with 20 m elevated hub heights, the downstream wake trajectories detach from downwind rotor swept areas, accelerating turbulent wake dissipation and yielding an overall 12% recovery in annual farm-level energy production.</t>
        </is>
      </c>
      <c r="S12" s="2" t="inlineStr">
        <is>
          <t>The Canopy Horizontal Array Turbulence Study</t>
        </is>
      </c>
      <c r="T12" s="3">
        <f>HYPERLINK("https://doi.org/10.1175/2010bams2614.1", "https://doi.org/10.1175/2010bams2614.1")</f>
        <v/>
      </c>
      <c r="U12" s="2" t="inlineStr">
        <is>
          <t>deploying scanning Doppler LiDAR alongside sonic anemometer arrays during CHATS, demonstrating that coherent sweep and ejection motions at the canopy interface account for over 70% of total vertical turbulent momentum and scalar exchange.</t>
        </is>
      </c>
      <c r="V12" s="2" t="inlineStr">
        <is>
          <t>The Canopy Horizontal Array Turbulence Study (CHATS) provides comprehensive multi-point measurements of turbulence statistics, coherent gust structures, and scalar transport within and above a deciduous plant canopy. Deploying a dense horizontal array of sonic anemometers coupled with scanning Doppler LiDAR systems, the experiment resolves spatial subfilter-scale turbulent energy transfer. Analysis shows that coherent sweep and ejection motions driven by inflection-point shear instabilities at the canopy top contribute more than 70% of vertical momentum and heat flux into the boundary layer.</t>
        </is>
      </c>
      <c r="W12" s="2" t="inlineStr">
        <is>
          <t>1. Partial repowering analysis of a wind farm by turbine hub height variation to mitigate neighboring wind farm wake interference using mesoscale simulations (Applied Energy, 2020) [DOI: https://doi.org/10.1016/j.apenergy.2020.115050] | 2. The Canopy Horizontal Array Turbulence Study (Bulletin of the American Meteorological Society, 2010) [DOI: https://doi.org/10.1175/2010bams2614.1]</t>
        </is>
      </c>
      <c r="X12" s="3">
        <f>HYPERLINK("https://doi.org/10.1016/j.apenergy.2020.115050 | https://doi.org/10.1175/2010bams2614.1", "https://doi.org/10.1016/j.apenergy.2020.115050 | https://doi.org/10.1175/2010bams2614.1")</f>
        <v/>
      </c>
      <c r="Y12" s="2" t="inlineStr">
        <is>
          <t>executing mesoscale wake simulations with hub height variation across dense wind turbine arrays, demonstrating that alternating hub heights mitigates downstream wake interference and recovers up to 12% in farm-level annual energy production.</t>
        </is>
      </c>
      <c r="Z12" s="2" t="inlineStr"/>
      <c r="AA12" s="2" t="inlineStr"/>
      <c r="AB12" s="2" t="inlineStr">
        <is>
          <t>"The Canopy Horizontal Array Turbulence Study" [Bulletin of the American Meteorological Society] (2010, 128 cites) [DOI: https://doi.org/10.1175/2010bams2614.1] | "Scopes and Challenges of Dual-Doppler Lidar Wind Measurements—An Error Analysis" [Journal of Atmospheric and Oceanic Technology] (2013, 114 cites) [DOI: https://doi.org/10.1175/jtech-d-12-00244.1] | "Turbulent flow over a wavy surface: Neutral case" [Journal of Geophysical Research Atmospheres] (2001, 85 cites) [DOI: https://doi.org/10.1029/2000jc900133]</t>
        </is>
      </c>
      <c r="AC12" s="2" t="inlineStr">
        <is>
          <t>MAE 579: Wind Energy | MAE 242: Intro to Fluid Mechanics | MAE 593: Applied Project</t>
        </is>
      </c>
      <c r="AD12" s="2" t="inlineStr"/>
      <c r="AE12" s="2" t="inlineStr"/>
      <c r="AF12" s="2" t="inlineStr">
        <is>
          <t>Wind and Air Flow Studies (30) | Meteorological Phenomena and Simulations (27) | Fluid Dynamics and Turbulent Flows (13)</t>
        </is>
      </c>
      <c r="AG12" s="2" t="inlineStr">
        <is>
          <t>Wind and Air Flow Studies (30) | Meteorological Phenomena and Simulations (27) | Fluid Dynamics and Turbulent Flows (13)</t>
        </is>
      </c>
      <c r="AH12" s="2" t="inlineStr"/>
      <c r="AI12" s="2" t="inlineStr"/>
      <c r="AJ12" s="2" t="inlineStr">
        <is>
          <t>Calhoun’s research interests are in fluid dynamics; atmospheric sciences; boundary layer; wind energy and remote sensing.</t>
        </is>
      </c>
      <c r="AK12" s="2" t="inlineStr">
        <is>
          <t>Ph.D. Civil and Environmental Engineering, Stanford University 1998 | Engineer. Civil and Environmental Engineering, Stanford University 1993 | M.S. Civil and Environmental Engineering, Stanford University 1992 | B.S. Symbolic Systems, Stanford University 1989</t>
        </is>
      </c>
      <c r="AL12" s="2" t="inlineStr">
        <is>
          <t>Wind Energy and Atmospheric Boundary Layer Lab</t>
        </is>
      </c>
      <c r="AM12" s="3">
        <f>HYPERLINK("https://windlab.engineering.asu.edu/ronald-calhoun/", "https://windlab.engineering.asu.edu/ronald-calhoun/")</f>
        <v/>
      </c>
      <c r="AN12" s="2" t="inlineStr"/>
      <c r="AO12" s="2" t="inlineStr"/>
      <c r="AP12" s="2" t="inlineStr"/>
      <c r="AQ12" s="2" t="inlineStr"/>
      <c r="AR12" s="2" t="inlineStr"/>
      <c r="AS12" s="2" t="inlineStr"/>
      <c r="AT12" s="2" t="inlineStr">
        <is>
          <t>Goldwater 466 (TEMPE, AZ 85287-6106)</t>
        </is>
      </c>
      <c r="AU12" s="2" t="b">
        <v>1</v>
      </c>
      <c r="AV12" s="3">
        <f>HYPERLINK("https://faculty.engineering.asu.edu/directory/semte/aerospace-and-mechanical-engineering/", "https://faculty.engineering.asu.edu/directory/semte/aerospace-and-mechanical-engineering/")</f>
        <v/>
      </c>
    </row>
    <row r="13">
      <c r="A13" s="2" t="inlineStr">
        <is>
          <t>Liping Wang</t>
        </is>
      </c>
      <c r="B13" s="2" t="inlineStr">
        <is>
          <t>Arizona State University</t>
        </is>
      </c>
      <c r="C13" s="3">
        <f>HYPERLINK("https://search.asu.edu/profile/lwang78", "https://search.asu.edu/profile/lwang78")</f>
        <v/>
      </c>
      <c r="D13" s="3">
        <f>HYPERLINK("https://scholar.google.com/citations?view_op=search_authors&amp;mauthors=Liping%20Wang%20Arizona%20State%20University", "Google Scholar Search")</f>
        <v/>
      </c>
      <c r="E13" s="2" t="inlineStr">
        <is>
          <t>Associate Professor</t>
        </is>
      </c>
      <c r="F13" s="2" t="inlineStr">
        <is>
          <t>Aerospace &amp; Mechanical Engineering</t>
        </is>
      </c>
      <c r="G13" s="2" t="inlineStr"/>
      <c r="H13" s="3">
        <f>HYPERLINK("mailto:Liping.Wang@asu.edu", "Liping.Wang@asu.edu")</f>
        <v/>
      </c>
      <c r="I13" s="2" t="n">
        <v>2</v>
      </c>
      <c r="J13" s="2" t="inlineStr">
        <is>
          <t>🟡 Tier 2: Thermal / Heat Transfer / Energy</t>
        </is>
      </c>
      <c r="K13" s="2" t="n">
        <v>7</v>
      </c>
      <c r="L13" s="2" t="inlineStr">
        <is>
          <t>aerospace, guidance, heat transfer, materials, metamaterials, radiation, thermal</t>
        </is>
      </c>
      <c r="M13" s="2" t="inlineStr"/>
      <c r="N13" s="2" t="inlineStr"/>
      <c r="O13" s="2" t="inlineStr"/>
      <c r="P13" s="2" t="inlineStr"/>
      <c r="Q13" s="2" t="inlineStr"/>
      <c r="R13" s="2" t="inlineStr"/>
      <c r="S13" s="2" t="inlineStr"/>
      <c r="T13" s="2" t="inlineStr"/>
      <c r="U13" s="2" t="inlineStr"/>
      <c r="V13" s="2" t="inlineStr"/>
      <c r="W13" s="2" t="inlineStr"/>
      <c r="X13" s="2" t="inlineStr"/>
      <c r="Y13" s="2" t="inlineStr"/>
      <c r="Z13" s="2" t="inlineStr">
        <is>
          <t>One PhD position available for Fall 2024 on AFM based near-field thermal measurement! ($32k/year stipend + tuition + benefit)</t>
        </is>
      </c>
      <c r="AA13" s="2" t="inlineStr"/>
      <c r="AB13" s="2" t="inlineStr"/>
      <c r="AC13" s="2" t="inlineStr">
        <is>
          <t>MAE 584: Internship | MAE 593: Applied Project | MAE 241: Intro to Thermodynamics</t>
        </is>
      </c>
      <c r="AD13" s="2" t="inlineStr">
        <is>
          <t>2017         AFOSR Young Investigator (YIP) Award,  ASU | 2016         JQSRT/Elsevier Viskanta Young Scientist Award,  ASU</t>
        </is>
      </c>
      <c r="AE13" s="2" t="inlineStr">
        <is>
          <t>Please send your CV to Prof. Wang ( [email protected] ). We will try to get back to you ASAP with possible available positions. Please also send a 2-page statement on describing your previous research experience as well as how your research interests match Prof. Wang’s group’s research themes. | Please send Prof. Wang ( [email protected] ) with your resumes for applications and for more details on the projects.</t>
        </is>
      </c>
      <c r="AF13" s="2" t="inlineStr"/>
      <c r="AG13" s="2" t="inlineStr"/>
      <c r="AH1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AI13" s="2" t="inlineStr"/>
      <c r="AJ13" s="2" t="inlineStr">
        <is>
          <t>Wang research interests include selective control of thermal emission/absorption using meta-materials for energy harvesting and near-field radiation heat transfer enhancement between meta-materials for thermophotovoltaics.</t>
        </is>
      </c>
      <c r="AK1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AL13" s="2" t="inlineStr">
        <is>
          <t>Nanoscale Thermal Radiation Lab</t>
        </is>
      </c>
      <c r="AM13" s="3">
        <f>HYPERLINK("http://faculty.engineering.asu.edu/lpwang", "http://faculty.engineering.asu.edu/lpwang")</f>
        <v/>
      </c>
      <c r="AN13" s="2" t="inlineStr">
        <is>
          <t>Multiple UG/MS research positions available for Fall 2024 (volunteer) and Spring/Summer 2025 (possible FURI / MORE support)</t>
        </is>
      </c>
      <c r="AO13" s="2" t="inlineStr"/>
      <c r="AP13" s="2" t="inlineStr">
        <is>
          <t>AFM</t>
        </is>
      </c>
      <c r="AQ13" s="2" t="inlineStr">
        <is>
          <t>NASA, NSF</t>
        </is>
      </c>
      <c r="AR13" s="2" t="inlineStr"/>
      <c r="AS13" s="2" t="inlineStr">
        <is>
          <t>News&amp;Awards</t>
        </is>
      </c>
      <c r="AT13" s="2" t="inlineStr">
        <is>
          <t>ENGRC 327 (Tempe, AZ 85287-6106)</t>
        </is>
      </c>
      <c r="AU13" s="2" t="b">
        <v>1</v>
      </c>
      <c r="AV13" s="3">
        <f>HYPERLINK("https://faculty.engineering.asu.edu/directory/semte/aerospace-and-mechanical-engineering/", "https://faculty.engineering.asu.edu/directory/semte/aerospace-and-mechanical-engineering/")</f>
        <v/>
      </c>
    </row>
    <row r="14">
      <c r="A14" s="2" t="inlineStr">
        <is>
          <t>Robert Wang</t>
        </is>
      </c>
      <c r="B14" s="2" t="inlineStr">
        <is>
          <t>Arizona State University</t>
        </is>
      </c>
      <c r="C14" s="3">
        <f>HYPERLINK("https://search.asu.edu/profile/rywang", "https://search.asu.edu/profile/rywang")</f>
        <v/>
      </c>
      <c r="D14" s="3">
        <f>HYPERLINK("https://scholar.google.com/citations?hl=en&amp;user=LaUdx9gAAAAJ", "Scholar (LaUdx9gAAAAJ)")</f>
        <v/>
      </c>
      <c r="E14" s="2" t="inlineStr">
        <is>
          <t>Associate Professor</t>
        </is>
      </c>
      <c r="F14" s="2" t="inlineStr">
        <is>
          <t>Aerospace &amp; Mechanical Engineering</t>
        </is>
      </c>
      <c r="G14" s="2" t="inlineStr">
        <is>
          <t>LaUdx9gAAAAJ</t>
        </is>
      </c>
      <c r="H14" s="3">
        <f>HYPERLINK("mailto:rywang@asu.edu", "rywang@asu.edu")</f>
        <v/>
      </c>
      <c r="I14" s="2" t="n">
        <v>2</v>
      </c>
      <c r="J14" s="2" t="inlineStr">
        <is>
          <t>🟡 Tier 2: Thermal / Heat Transfer / Energy</t>
        </is>
      </c>
      <c r="K14" s="2" t="n">
        <v>4</v>
      </c>
      <c r="L14" s="2" t="inlineStr">
        <is>
          <t>composites, heat transfer, materials, thermal</t>
        </is>
      </c>
      <c r="M14" s="2" t="inlineStr"/>
      <c r="N14" s="2" t="inlineStr"/>
      <c r="O14" s="2" t="inlineStr"/>
      <c r="P14" s="2" t="inlineStr"/>
      <c r="Q14" s="2" t="inlineStr"/>
      <c r="R14" s="2" t="inlineStr"/>
      <c r="S14" s="2" t="inlineStr"/>
      <c r="T14" s="2" t="inlineStr"/>
      <c r="U14" s="2" t="inlineStr"/>
      <c r="V14" s="2" t="inlineStr"/>
      <c r="W14" s="2" t="inlineStr"/>
      <c r="X14" s="2" t="inlineStr"/>
      <c r="Y14" s="2" t="inlineStr"/>
      <c r="Z14" s="2" t="inlineStr"/>
      <c r="AA14" s="2" t="inlineStr"/>
      <c r="AB14" s="2" t="inlineStr"/>
      <c r="AC14" s="2" t="inlineStr">
        <is>
          <t>MAE 241: Intro to Thermodynamics | MAE 593: Applied Project | MAE 588: Nanoscale Heat Transfer</t>
        </is>
      </c>
      <c r="AD14" s="2" t="inlineStr"/>
      <c r="AE14" s="2" t="inlineStr"/>
      <c r="AF14" s="2" t="inlineStr"/>
      <c r="AG14" s="2" t="inlineStr"/>
      <c r="AH14"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AI14"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AJ14" s="2" t="inlineStr">
        <is>
          <t>Wang's research interests include thermal energy conversion, storage, and transport in nanostructured materials; thermoelectric power generation; thermal storage media; heat transfer, and phonon optics</t>
        </is>
      </c>
      <c r="AK14" s="2" t="inlineStr">
        <is>
          <t>Ph.D. Mechanical Engineering, University of California-Berkeley 2008 | M.S. Mechanical Engineering, University of California-Berkeley 2005 | B.S. Mechanical Engineering, University of California-Los Angeles 2003</t>
        </is>
      </c>
      <c r="AL14" s="2" t="inlineStr"/>
      <c r="AM14" s="3">
        <f>HYPERLINK("http://wang.faculty.asu.edu/", "http://wang.faculty.asu.edu/")</f>
        <v/>
      </c>
      <c r="AN14" s="2" t="inlineStr"/>
      <c r="AO14" s="2" t="inlineStr"/>
      <c r="AP14" s="2" t="inlineStr"/>
      <c r="AQ14" s="2" t="inlineStr"/>
      <c r="AR14" s="2" t="inlineStr"/>
      <c r="AS14" s="2" t="inlineStr"/>
      <c r="AT14" s="2" t="inlineStr">
        <is>
          <t>ENGRC 307 (Tempe, AZ 85287-6106)</t>
        </is>
      </c>
      <c r="AU14" s="2" t="b">
        <v>1</v>
      </c>
      <c r="AV14" s="3">
        <f>HYPERLINK("https://faculty.engineering.asu.edu/directory/semte/aerospace-and-mechanical-engineering/", "https://faculty.engineering.asu.edu/directory/semte/aerospace-and-mechanical-engineering/")</f>
        <v/>
      </c>
    </row>
    <row r="15">
      <c r="A15" s="2" t="inlineStr">
        <is>
          <t>T.-W. Lee</t>
        </is>
      </c>
      <c r="B15" s="2" t="inlineStr">
        <is>
          <t>Arizona State University</t>
        </is>
      </c>
      <c r="C15" s="3">
        <f>HYPERLINK("https://search.asu.edu/profile/attwl", "https://search.asu.edu/profile/attwl")</f>
        <v/>
      </c>
      <c r="D15" s="3">
        <f>HYPERLINK("https://scholar.google.com/citations?view_op=search_authors&amp;mauthors=T.-W.%20Lee%20Arizona%20State%20University", "Google Scholar Search")</f>
        <v/>
      </c>
      <c r="E15" s="2" t="inlineStr">
        <is>
          <t>Associate Professor</t>
        </is>
      </c>
      <c r="F15" s="2" t="inlineStr">
        <is>
          <t>Aerospace &amp; Mechanical Engineering</t>
        </is>
      </c>
      <c r="G15" s="2" t="inlineStr"/>
      <c r="H15" s="3">
        <f>HYPERLINK("mailto:ATTWL@asu.edu", "ATTWL@asu.edu")</f>
        <v/>
      </c>
      <c r="I15" s="2" t="n">
        <v>2</v>
      </c>
      <c r="J15" s="2" t="inlineStr">
        <is>
          <t>🟡 Tier 2: Thermal / Heat Transfer / Energy</t>
        </is>
      </c>
      <c r="K15" s="2" t="n">
        <v>4</v>
      </c>
      <c r="L15" s="2" t="inlineStr">
        <is>
          <t>aerospace, energy systems, propulsion, thermal</t>
        </is>
      </c>
      <c r="M15" s="2" t="inlineStr"/>
      <c r="N15" s="2" t="inlineStr"/>
      <c r="O15" s="2" t="inlineStr"/>
      <c r="P15" s="2" t="inlineStr"/>
      <c r="Q15" s="2" t="inlineStr"/>
      <c r="R15" s="2" t="inlineStr"/>
      <c r="S15" s="2" t="inlineStr"/>
      <c r="T15" s="2" t="inlineStr"/>
      <c r="U15" s="2" t="inlineStr"/>
      <c r="V15" s="2" t="inlineStr"/>
      <c r="W15" s="2" t="inlineStr"/>
      <c r="X15" s="2" t="inlineStr"/>
      <c r="Y15" s="2" t="inlineStr"/>
      <c r="Z15" s="2" t="inlineStr">
        <is>
          <t>N Hegde, Taewoo Lee. Laser-induced breakdown spectroscopy for in situ diagnostics of combustion parameters including tem</t>
        </is>
      </c>
      <c r="AA15" s="2" t="inlineStr"/>
      <c r="AB15" s="2" t="inlineStr"/>
      <c r="AC15" s="2" t="inlineStr">
        <is>
          <t>MAE 565: Rocket Propulsion | MAE 593: Applied Project | MAE 570: Intermediate Thermodynamics</t>
        </is>
      </c>
      <c r="AD15" s="2" t="inlineStr"/>
      <c r="AE15" s="2" t="inlineStr"/>
      <c r="AF15" s="2" t="inlineStr"/>
      <c r="AG15" s="2" t="inlineStr"/>
      <c r="AH15" s="2" t="inlineStr"/>
      <c r="AI15" s="2" t="inlineStr"/>
      <c r="AJ15" s="2" t="inlineStr">
        <is>
          <t>Lee's areas of expertise include energy system analysis, thermal and fluid process characterization, and fuel property measurements for energy systems.</t>
        </is>
      </c>
      <c r="AK15" s="2" t="inlineStr">
        <is>
          <t>Ph.D. Aerospace Engineering, University of Michigan-Ann Arbor | M.S.E. Aerospace Engineering, University of Michigan-Ann Arbor | B.S. Aeronautical and Astronautical Engineering, The Ohio State University-Columbus</t>
        </is>
      </c>
      <c r="AL15" s="2" t="inlineStr"/>
      <c r="AM15" s="2" t="inlineStr"/>
      <c r="AN15" s="2" t="inlineStr"/>
      <c r="AO15" s="2" t="inlineStr"/>
      <c r="AP15" s="2" t="inlineStr"/>
      <c r="AQ15" s="2" t="inlineStr"/>
      <c r="AR15" s="2" t="inlineStr"/>
      <c r="AS15" s="2" t="inlineStr"/>
      <c r="AT15" s="2" t="inlineStr">
        <is>
          <t>ENGRC 377 (TEMPE, AZ 85287-6106)</t>
        </is>
      </c>
      <c r="AU15" s="2" t="b">
        <v>1</v>
      </c>
      <c r="AV15" s="3">
        <f>HYPERLINK("https://faculty.engineering.asu.edu/directory/semte/aerospace-and-mechanical-engineering/", "https://faculty.engineering.asu.edu/directory/semte/aerospace-and-mechanical-engineering/")</f>
        <v/>
      </c>
    </row>
    <row r="16">
      <c r="A16" s="2" t="inlineStr">
        <is>
          <t>Tianyu Yang</t>
        </is>
      </c>
      <c r="B16" s="2" t="inlineStr">
        <is>
          <t>Arizona State University</t>
        </is>
      </c>
      <c r="C16" s="3">
        <f>HYPERLINK("https://search.asu.edu/profile/tyang123", "https://search.asu.edu/profile/tyang123")</f>
        <v/>
      </c>
      <c r="D16" s="3">
        <f>HYPERLINK("https://scholar.google.com/citations?hl=en&amp;user=OmBV67MAAAAJ", "Scholar (OmBV67MAAAAJ)")</f>
        <v/>
      </c>
      <c r="E16" s="2" t="inlineStr">
        <is>
          <t>Assistant Professor</t>
        </is>
      </c>
      <c r="F16" s="2" t="inlineStr">
        <is>
          <t>Aerospace &amp; Mechanical Engineering</t>
        </is>
      </c>
      <c r="G16" s="2" t="inlineStr">
        <is>
          <t>OmBV67MAAAAJ</t>
        </is>
      </c>
      <c r="H16" s="3">
        <f>HYPERLINK("mailto:Tianyu.Yang@asu.edu", "Tianyu.Yang@asu.edu")</f>
        <v/>
      </c>
      <c r="I16" s="2" t="n">
        <v>2</v>
      </c>
      <c r="J16" s="2" t="inlineStr">
        <is>
          <t>🟡 Tier 2: Thermal / Heat Transfer / Energy</t>
        </is>
      </c>
      <c r="K16" s="2" t="n">
        <v>4</v>
      </c>
      <c r="L16" s="2" t="inlineStr">
        <is>
          <t>autonomous, heat transfer, materials, thermal</t>
        </is>
      </c>
      <c r="M16" s="2" t="inlineStr"/>
      <c r="N16" s="2" t="inlineStr"/>
      <c r="O16" s="2" t="inlineStr"/>
      <c r="P16" s="2" t="inlineStr"/>
      <c r="Q16" s="2" t="inlineStr"/>
      <c r="R16" s="2" t="inlineStr"/>
      <c r="S16" s="2" t="inlineStr"/>
      <c r="T16" s="2" t="inlineStr"/>
      <c r="U16" s="2" t="inlineStr"/>
      <c r="V16" s="2" t="inlineStr"/>
      <c r="W16" s="2" t="inlineStr"/>
      <c r="X16" s="2" t="inlineStr"/>
      <c r="Y16" s="2" t="inlineStr"/>
      <c r="Z16" s="2" t="inlineStr"/>
      <c r="AA16" s="2" t="inlineStr"/>
      <c r="AB16" s="2" t="inlineStr"/>
      <c r="AC16" s="2" t="inlineStr">
        <is>
          <t>MAE 241: Intro to Thermodynamics</t>
        </is>
      </c>
      <c r="AD16" s="2" t="inlineStr"/>
      <c r="AE16" s="2" t="inlineStr"/>
      <c r="AF16" s="2" t="inlineStr"/>
      <c r="AG16" s="2" t="inlineStr"/>
      <c r="AH16" s="2" t="inlineStr"/>
      <c r="AI16" s="2" t="inlineStr"/>
      <c r="AJ16" s="2" t="inlineStr">
        <is>
          <t>Yang studies heat transfer, thermal management of electronics, and biomedical devices. She has published multiple research papers in major scientific journals.</t>
        </is>
      </c>
      <c r="AK16" s="2" t="inlineStr">
        <is>
          <t>PhD. University of Illinois at Urbana Champaign, 2016-2021 | BS. Tsinghua University, China 2012-2016</t>
        </is>
      </c>
      <c r="AL16" s="2" t="inlineStr"/>
      <c r="AM16" s="2" t="inlineStr"/>
      <c r="AN16" s="2" t="inlineStr"/>
      <c r="AO16" s="2" t="inlineStr"/>
      <c r="AP16" s="2" t="inlineStr"/>
      <c r="AQ16" s="2" t="inlineStr"/>
      <c r="AR16" s="2" t="inlineStr"/>
      <c r="AS16" s="2" t="inlineStr"/>
      <c r="AT16" s="2" t="inlineStr">
        <is>
          <t>Campus: Tempe</t>
        </is>
      </c>
      <c r="AU16" s="2" t="b">
        <v>1</v>
      </c>
      <c r="AV16" s="3">
        <f>HYPERLINK("https://faculty.engineering.asu.edu/directory/semte/aerospace-and-mechanical-engineering/", "https://faculty.engineering.asu.edu/directory/semte/aerospace-and-mechanical-engineering/")</f>
        <v/>
      </c>
    </row>
    <row r="17">
      <c r="A17" s="2" t="inlineStr">
        <is>
          <t>Beomjin Kwon</t>
        </is>
      </c>
      <c r="B17" s="2" t="inlineStr">
        <is>
          <t>Arizona State University</t>
        </is>
      </c>
      <c r="C17" s="3">
        <f>HYPERLINK("https://search.asu.edu/profile/bkwon2", "https://search.asu.edu/profile/bkwon2")</f>
        <v/>
      </c>
      <c r="D17" s="3">
        <f>HYPERLINK("https://scholar.google.com/citations?hl=en&amp;user=fs2d97sAAAAJ", "Scholar (fs2d97sAAAAJ)")</f>
        <v/>
      </c>
      <c r="E17" s="2" t="inlineStr">
        <is>
          <t>Associate Professor</t>
        </is>
      </c>
      <c r="F17" s="2" t="inlineStr">
        <is>
          <t>Aerospace &amp; Mechanical Engineering</t>
        </is>
      </c>
      <c r="G17" s="2" t="inlineStr">
        <is>
          <t>fs2d97sAAAAJ</t>
        </is>
      </c>
      <c r="H17" s="3">
        <f>HYPERLINK("mailto:kwon@asu.edu", "kwon@asu.edu")</f>
        <v/>
      </c>
      <c r="I17" s="2" t="n">
        <v>2</v>
      </c>
      <c r="J17" s="2" t="inlineStr">
        <is>
          <t>🟡 Tier 2: Thermal / Heat Transfer / Energy</t>
        </is>
      </c>
      <c r="K17" s="2" t="n">
        <v>3</v>
      </c>
      <c r="L17" s="2" t="inlineStr">
        <is>
          <t>aerospace, energy systems, heat transfer</t>
        </is>
      </c>
      <c r="M17" s="2" t="inlineStr"/>
      <c r="N17" s="2" t="inlineStr"/>
      <c r="O17" s="2" t="inlineStr"/>
      <c r="P17" s="2" t="inlineStr"/>
      <c r="Q17" s="2" t="inlineStr"/>
      <c r="R17" s="2" t="inlineStr"/>
      <c r="S17" s="2" t="inlineStr"/>
      <c r="T17" s="2" t="inlineStr"/>
      <c r="U17" s="2" t="inlineStr"/>
      <c r="V17" s="2" t="inlineStr"/>
      <c r="W17" s="2" t="inlineStr"/>
      <c r="X17" s="2" t="inlineStr"/>
      <c r="Y17" s="2" t="inlineStr"/>
      <c r="Z17" s="2" t="inlineStr">
        <is>
          <t>Journal Papers 62. N. Ohashi, J. Deng, L.K. Hwang, P.K. Kang, and B. Kwon, “Physics-Informed Machine Learning for Reconstructin...</t>
        </is>
      </c>
      <c r="AA17" s="2" t="inlineStr"/>
      <c r="AB17" s="2" t="inlineStr"/>
      <c r="AC17" s="2" t="inlineStr">
        <is>
          <t>MAE 593: Applied Project | MAE 241: Intro to Thermodynamics | MAE 598: Special Topics</t>
        </is>
      </c>
      <c r="AD17" s="2" t="inlineStr"/>
      <c r="AE17" s="2" t="inlineStr"/>
      <c r="AF17" s="2" t="inlineStr"/>
      <c r="AG17" s="2" t="inlineStr"/>
      <c r="AH17" s="2" t="inlineStr">
        <is>
          <t>Transport phenomena in heat transfer systems Additive manufacturing Data-driven modeling and design</t>
        </is>
      </c>
      <c r="AI17" s="2" t="inlineStr"/>
      <c r="AJ17" s="2" t="inlineStr">
        <is>
          <t>Kwon aims to improve the energy conversion and transport systems through the fundamental insights into transport physics, and by exploiting additive manufacturing and data-driven approaches.</t>
        </is>
      </c>
      <c r="AK17" s="2" t="inlineStr">
        <is>
          <t>Ph.D. Mechanical Engineering, University of Illinois at Urbana-Champaign 2013 | M.S. Mechanical Engineering, University of Illinois at Urbana-Champaign 2009 | B.S. Mechanical and Aerospace Engineering, Seoul National University 2008</t>
        </is>
      </c>
      <c r="AL17" s="2" t="inlineStr">
        <is>
          <t>3D Energy Lab</t>
        </is>
      </c>
      <c r="AM17" s="3">
        <f>HYPERLINK("http://sites.google.com/view/3denergy", "http://sites.google.com/view/3denergy")</f>
        <v/>
      </c>
      <c r="AN17" s="2" t="inlineStr"/>
      <c r="AO17" s="2" t="inlineStr"/>
      <c r="AP17" s="2" t="inlineStr">
        <is>
          <t>3D Printer</t>
        </is>
      </c>
      <c r="AQ17" s="2" t="inlineStr">
        <is>
          <t>NSF</t>
        </is>
      </c>
      <c r="AR17" s="2" t="inlineStr"/>
      <c r="AS17" s="2" t="inlineStr">
        <is>
          <t>3D Energy Device Laboratory</t>
        </is>
      </c>
      <c r="AT17" s="2" t="inlineStr">
        <is>
          <t>551 E Tyler Mall ERC 363 (Tempe, AZ 85281)</t>
        </is>
      </c>
      <c r="AU17" s="2" t="b">
        <v>1</v>
      </c>
      <c r="AV17" s="3">
        <f>HYPERLINK("https://faculty.engineering.asu.edu/directory/semte/aerospace-and-mechanical-engineering/", "https://faculty.engineering.asu.edu/directory/semte/aerospace-and-mechanical-engineering/")</f>
        <v/>
      </c>
    </row>
    <row r="18">
      <c r="A18" s="2" t="inlineStr">
        <is>
          <t>Patrick Phelan</t>
        </is>
      </c>
      <c r="B18" s="2" t="inlineStr">
        <is>
          <t>Arizona State University</t>
        </is>
      </c>
      <c r="C18" s="3">
        <f>HYPERLINK("https://search.asu.edu/profile/pphelan", "https://search.asu.edu/profile/pphelan")</f>
        <v/>
      </c>
      <c r="D18" s="3">
        <f>HYPERLINK("https://scholar.google.com/citations?view_op=search_authors&amp;mauthors=Patrick%20Phelan%20Arizona%20State%20University", "Google Scholar Search")</f>
        <v/>
      </c>
      <c r="E18" s="2" t="inlineStr">
        <is>
          <t>Professor</t>
        </is>
      </c>
      <c r="F18" s="2" t="inlineStr">
        <is>
          <t>Aerospace &amp; Mechanical Engineering</t>
        </is>
      </c>
      <c r="G18" s="2" t="inlineStr"/>
      <c r="H18" s="3">
        <f>HYPERLINK("mailto:phelan@asu.edu", "phelan@asu.edu")</f>
        <v/>
      </c>
      <c r="I18" s="2" t="n">
        <v>2</v>
      </c>
      <c r="J18" s="2" t="inlineStr">
        <is>
          <t>🟡 Tier 2: Thermal / Heat Transfer / Energy</t>
        </is>
      </c>
      <c r="K18" s="2" t="n">
        <v>3</v>
      </c>
      <c r="L18" s="2" t="inlineStr">
        <is>
          <t>aerospace, energy systems, thermal</t>
        </is>
      </c>
      <c r="M18" s="2" t="inlineStr"/>
      <c r="N18" s="2" t="inlineStr"/>
      <c r="O18" s="2" t="inlineStr"/>
      <c r="P18" s="2" t="inlineStr"/>
      <c r="Q18" s="2" t="inlineStr"/>
      <c r="R18" s="2" t="inlineStr"/>
      <c r="S18" s="2" t="inlineStr"/>
      <c r="T18" s="2" t="inlineStr"/>
      <c r="U18" s="2" t="inlineStr"/>
      <c r="V18" s="2" t="inlineStr"/>
      <c r="W18" s="2" t="inlineStr"/>
      <c r="X18" s="2" t="inlineStr"/>
      <c r="Y18" s="2" t="inlineStr"/>
      <c r="Z18" s="2" t="inlineStr">
        <is>
          <t>Please see my publications at Google Scholar .</t>
        </is>
      </c>
      <c r="AA18" s="2" t="inlineStr"/>
      <c r="AB18" s="2" t="inlineStr"/>
      <c r="AC18" s="2" t="inlineStr">
        <is>
          <t>MAE 593: Applied Project | MAE 494: Special Topics | MAE 598: Special Topics</t>
        </is>
      </c>
      <c r="AD18" s="2" t="inlineStr"/>
      <c r="AE18" s="2" t="inlineStr"/>
      <c r="AF18" s="2" t="inlineStr"/>
      <c r="AG18" s="2" t="inlineStr"/>
      <c r="AH18" s="2" t="inlineStr">
        <is>
          <t>Thermal engineering, sustainable energy systems, energy management, sustainable cooling systems.</t>
        </is>
      </c>
      <c r="AI18" s="2" t="inlineStr">
        <is>
          <t>Building Technology, Solar Energy Systems, Energy Efficiency Technologies, Mechanical Engineering</t>
        </is>
      </c>
      <c r="AJ18" s="2" t="inlineStr">
        <is>
          <t>Phelan researches and teaches in the area of sustainable energy, thermal transport and thermal management.</t>
        </is>
      </c>
      <c r="AK18"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AL18" s="2" t="inlineStr"/>
      <c r="AM18" s="2" t="inlineStr"/>
      <c r="AN18" s="2" t="inlineStr"/>
      <c r="AO18" s="2" t="inlineStr"/>
      <c r="AP18" s="2" t="inlineStr"/>
      <c r="AQ18" s="2" t="inlineStr"/>
      <c r="AR18" s="2" t="inlineStr"/>
      <c r="AS18" s="2" t="inlineStr"/>
      <c r="AT18" s="2" t="inlineStr">
        <is>
          <t>ENGRC 463 (TEMPE, AZ 85287-6106)</t>
        </is>
      </c>
      <c r="AU18" s="2" t="b">
        <v>1</v>
      </c>
      <c r="AV18" s="3">
        <f>HYPERLINK("https://faculty.engineering.asu.edu/directory/semte/aerospace-and-mechanical-engineering/", "https://faculty.engineering.asu.edu/directory/semte/aerospace-and-mechanical-engineering/")</f>
        <v/>
      </c>
    </row>
    <row r="19">
      <c r="A19" s="2" t="inlineStr">
        <is>
          <t>Konrad Rykaczewski</t>
        </is>
      </c>
      <c r="B19" s="2" t="inlineStr">
        <is>
          <t>Arizona State University</t>
        </is>
      </c>
      <c r="C19" s="3">
        <f>HYPERLINK("https://search.asu.edu/profile/krykacze", "https://search.asu.edu/profile/krykacze")</f>
        <v/>
      </c>
      <c r="D19" s="3">
        <f>HYPERLINK("https://scholar.google.com/citations?hl=en&amp;user=SWeAf4UAAAAJ", "Scholar (SWeAf4UAAAAJ)")</f>
        <v/>
      </c>
      <c r="E19" s="2" t="inlineStr">
        <is>
          <t>Associate Professor</t>
        </is>
      </c>
      <c r="F19" s="2" t="inlineStr">
        <is>
          <t>Aerospace &amp; Mechanical Engineering</t>
        </is>
      </c>
      <c r="G19" s="2" t="inlineStr">
        <is>
          <t>SWeAf4UAAAAJ</t>
        </is>
      </c>
      <c r="H19" s="3">
        <f>HYPERLINK("mailto:konradr@asu.edu", "konradr@asu.edu")</f>
        <v/>
      </c>
      <c r="I19" s="2" t="n">
        <v>2</v>
      </c>
      <c r="J19" s="2" t="inlineStr">
        <is>
          <t>🟡 Tier 2: Thermal / Heat Transfer / Energy</t>
        </is>
      </c>
      <c r="K19" s="2" t="n">
        <v>2</v>
      </c>
      <c r="L19" s="2" t="inlineStr">
        <is>
          <t>materials, thermal</t>
        </is>
      </c>
      <c r="M19" s="2" t="inlineStr"/>
      <c r="N19" s="2" t="inlineStr"/>
      <c r="O19" s="2" t="inlineStr"/>
      <c r="P19" s="2" t="inlineStr"/>
      <c r="Q19" s="2" t="inlineStr"/>
      <c r="R19" s="2" t="inlineStr"/>
      <c r="S19" s="2" t="inlineStr"/>
      <c r="T19" s="2" t="inlineStr"/>
      <c r="U19" s="2" t="inlineStr"/>
      <c r="V19" s="2" t="inlineStr"/>
      <c r="W19" s="2" t="inlineStr"/>
      <c r="X19" s="2" t="inlineStr"/>
      <c r="Y19" s="2" t="inlineStr"/>
      <c r="Z19" s="2" t="inlineStr"/>
      <c r="AA19" s="2" t="inlineStr"/>
      <c r="AB19" s="2" t="inlineStr"/>
      <c r="AC19" s="2" t="inlineStr">
        <is>
          <t>MAE 593: Applied Project | MAE 499: Individualized Instruction | MAE 586: Advanced Heat Transfer</t>
        </is>
      </c>
      <c r="AD19" s="2" t="inlineStr"/>
      <c r="AE19" s="2" t="inlineStr"/>
      <c r="AF19" s="2" t="inlineStr"/>
      <c r="AG19" s="2" t="inlineStr"/>
      <c r="AH19" s="2" t="inlineStr"/>
      <c r="AI19" s="2" t="inlineStr"/>
      <c r="AJ19" s="2" t="inlineStr">
        <is>
          <t>Rykaczewski's research focuses on development of soft thermal materials and system as well as studying human thermal exposure in extreme heat.</t>
        </is>
      </c>
      <c r="AK19" s="2" t="inlineStr">
        <is>
          <t>Ph.D. Mechanical Engineering, Georgia Institute of Technology 2009 | M.S. Mechanical Engineering, Georgia Institute of Technology 2007 | B.S. Mechanical Engineering, Georgia Institute of Technology 2005</t>
        </is>
      </c>
      <c r="AL19" s="2" t="inlineStr">
        <is>
          <t>Nano-Bio-Thermal Engineering Laboratory</t>
        </is>
      </c>
      <c r="AM19" s="3">
        <f>HYPERLINK("http://faculty.engineering.asu.edu/konrad/", "http://faculty.engineering.asu.edu/konrad/")</f>
        <v/>
      </c>
      <c r="AN19" s="2" t="inlineStr"/>
      <c r="AO19" s="2" t="inlineStr"/>
      <c r="AP19" s="2" t="inlineStr"/>
      <c r="AQ19" s="2" t="inlineStr"/>
      <c r="AR19" s="2" t="inlineStr"/>
      <c r="AS19" s="2" t="inlineStr">
        <is>
          <t>Rykaczewski Lab</t>
        </is>
      </c>
      <c r="AT19" s="2" t="inlineStr">
        <is>
          <t>ENGRC 309 (Tempe, AZ 85287)</t>
        </is>
      </c>
      <c r="AU19" s="2" t="b">
        <v>1</v>
      </c>
      <c r="AV19"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P2" r:id="rId4"/>
    <hyperlink xmlns:r="http://schemas.openxmlformats.org/officeDocument/2006/relationships" ref="T2" r:id="rId5"/>
    <hyperlink xmlns:r="http://schemas.openxmlformats.org/officeDocument/2006/relationships" ref="X2" r:id="rId6"/>
    <hyperlink xmlns:r="http://schemas.openxmlformats.org/officeDocument/2006/relationships" ref="AM2" r:id="rId7"/>
    <hyperlink xmlns:r="http://schemas.openxmlformats.org/officeDocument/2006/relationships" ref="AR2" r:id="rId8"/>
    <hyperlink xmlns:r="http://schemas.openxmlformats.org/officeDocument/2006/relationships" ref="AV2" r:id="rId9"/>
    <hyperlink xmlns:r="http://schemas.openxmlformats.org/officeDocument/2006/relationships" ref="C3" r:id="rId10"/>
    <hyperlink xmlns:r="http://schemas.openxmlformats.org/officeDocument/2006/relationships" ref="D3" r:id="rId11"/>
    <hyperlink xmlns:r="http://schemas.openxmlformats.org/officeDocument/2006/relationships" ref="H3" r:id="rId12"/>
    <hyperlink xmlns:r="http://schemas.openxmlformats.org/officeDocument/2006/relationships" ref="P3" r:id="rId13"/>
    <hyperlink xmlns:r="http://schemas.openxmlformats.org/officeDocument/2006/relationships" ref="T3" r:id="rId14"/>
    <hyperlink xmlns:r="http://schemas.openxmlformats.org/officeDocument/2006/relationships" ref="X3" r:id="rId15"/>
    <hyperlink xmlns:r="http://schemas.openxmlformats.org/officeDocument/2006/relationships" ref="AV3" r:id="rId16"/>
    <hyperlink xmlns:r="http://schemas.openxmlformats.org/officeDocument/2006/relationships" ref="C4" r:id="rId17"/>
    <hyperlink xmlns:r="http://schemas.openxmlformats.org/officeDocument/2006/relationships" ref="D4" r:id="rId18"/>
    <hyperlink xmlns:r="http://schemas.openxmlformats.org/officeDocument/2006/relationships" ref="H4" r:id="rId19"/>
    <hyperlink xmlns:r="http://schemas.openxmlformats.org/officeDocument/2006/relationships" ref="P4" r:id="rId20"/>
    <hyperlink xmlns:r="http://schemas.openxmlformats.org/officeDocument/2006/relationships" ref="T4" r:id="rId21"/>
    <hyperlink xmlns:r="http://schemas.openxmlformats.org/officeDocument/2006/relationships" ref="X4" r:id="rId22"/>
    <hyperlink xmlns:r="http://schemas.openxmlformats.org/officeDocument/2006/relationships" ref="AV4" r:id="rId23"/>
    <hyperlink xmlns:r="http://schemas.openxmlformats.org/officeDocument/2006/relationships" ref="C5" r:id="rId24"/>
    <hyperlink xmlns:r="http://schemas.openxmlformats.org/officeDocument/2006/relationships" ref="D5" r:id="rId25"/>
    <hyperlink xmlns:r="http://schemas.openxmlformats.org/officeDocument/2006/relationships" ref="H5" r:id="rId26"/>
    <hyperlink xmlns:r="http://schemas.openxmlformats.org/officeDocument/2006/relationships" ref="P5" r:id="rId27"/>
    <hyperlink xmlns:r="http://schemas.openxmlformats.org/officeDocument/2006/relationships" ref="T5" r:id="rId28"/>
    <hyperlink xmlns:r="http://schemas.openxmlformats.org/officeDocument/2006/relationships" ref="X5" r:id="rId29"/>
    <hyperlink xmlns:r="http://schemas.openxmlformats.org/officeDocument/2006/relationships" ref="AM5" r:id="rId30"/>
    <hyperlink xmlns:r="http://schemas.openxmlformats.org/officeDocument/2006/relationships" ref="AV5" r:id="rId31"/>
    <hyperlink xmlns:r="http://schemas.openxmlformats.org/officeDocument/2006/relationships" ref="C6" r:id="rId32"/>
    <hyperlink xmlns:r="http://schemas.openxmlformats.org/officeDocument/2006/relationships" ref="D6" r:id="rId33"/>
    <hyperlink xmlns:r="http://schemas.openxmlformats.org/officeDocument/2006/relationships" ref="H6" r:id="rId34"/>
    <hyperlink xmlns:r="http://schemas.openxmlformats.org/officeDocument/2006/relationships" ref="P6" r:id="rId35"/>
    <hyperlink xmlns:r="http://schemas.openxmlformats.org/officeDocument/2006/relationships" ref="T6" r:id="rId36"/>
    <hyperlink xmlns:r="http://schemas.openxmlformats.org/officeDocument/2006/relationships" ref="X6" r:id="rId37"/>
    <hyperlink xmlns:r="http://schemas.openxmlformats.org/officeDocument/2006/relationships" ref="AM6" r:id="rId38"/>
    <hyperlink xmlns:r="http://schemas.openxmlformats.org/officeDocument/2006/relationships" ref="AV6" r:id="rId39"/>
    <hyperlink xmlns:r="http://schemas.openxmlformats.org/officeDocument/2006/relationships" ref="C7" r:id="rId40"/>
    <hyperlink xmlns:r="http://schemas.openxmlformats.org/officeDocument/2006/relationships" ref="D7" r:id="rId41"/>
    <hyperlink xmlns:r="http://schemas.openxmlformats.org/officeDocument/2006/relationships" ref="H7" r:id="rId42"/>
    <hyperlink xmlns:r="http://schemas.openxmlformats.org/officeDocument/2006/relationships" ref="P7" r:id="rId43"/>
    <hyperlink xmlns:r="http://schemas.openxmlformats.org/officeDocument/2006/relationships" ref="T7" r:id="rId44"/>
    <hyperlink xmlns:r="http://schemas.openxmlformats.org/officeDocument/2006/relationships" ref="X7" r:id="rId45"/>
    <hyperlink xmlns:r="http://schemas.openxmlformats.org/officeDocument/2006/relationships" ref="AV7" r:id="rId46"/>
    <hyperlink xmlns:r="http://schemas.openxmlformats.org/officeDocument/2006/relationships" ref="C8" r:id="rId47"/>
    <hyperlink xmlns:r="http://schemas.openxmlformats.org/officeDocument/2006/relationships" ref="D8" r:id="rId48"/>
    <hyperlink xmlns:r="http://schemas.openxmlformats.org/officeDocument/2006/relationships" ref="H8" r:id="rId49"/>
    <hyperlink xmlns:r="http://schemas.openxmlformats.org/officeDocument/2006/relationships" ref="P8" r:id="rId50"/>
    <hyperlink xmlns:r="http://schemas.openxmlformats.org/officeDocument/2006/relationships" ref="T8" r:id="rId51"/>
    <hyperlink xmlns:r="http://schemas.openxmlformats.org/officeDocument/2006/relationships" ref="X8" r:id="rId52"/>
    <hyperlink xmlns:r="http://schemas.openxmlformats.org/officeDocument/2006/relationships" ref="AV8" r:id="rId53"/>
    <hyperlink xmlns:r="http://schemas.openxmlformats.org/officeDocument/2006/relationships" ref="C9" r:id="rId54"/>
    <hyperlink xmlns:r="http://schemas.openxmlformats.org/officeDocument/2006/relationships" ref="D9" r:id="rId55"/>
    <hyperlink xmlns:r="http://schemas.openxmlformats.org/officeDocument/2006/relationships" ref="H9" r:id="rId56"/>
    <hyperlink xmlns:r="http://schemas.openxmlformats.org/officeDocument/2006/relationships" ref="P9" r:id="rId57"/>
    <hyperlink xmlns:r="http://schemas.openxmlformats.org/officeDocument/2006/relationships" ref="T9" r:id="rId58"/>
    <hyperlink xmlns:r="http://schemas.openxmlformats.org/officeDocument/2006/relationships" ref="X9" r:id="rId59"/>
    <hyperlink xmlns:r="http://schemas.openxmlformats.org/officeDocument/2006/relationships" ref="AM9" r:id="rId60"/>
    <hyperlink xmlns:r="http://schemas.openxmlformats.org/officeDocument/2006/relationships" ref="AV9" r:id="rId61"/>
    <hyperlink xmlns:r="http://schemas.openxmlformats.org/officeDocument/2006/relationships" ref="C10" r:id="rId62"/>
    <hyperlink xmlns:r="http://schemas.openxmlformats.org/officeDocument/2006/relationships" ref="D10" r:id="rId63"/>
    <hyperlink xmlns:r="http://schemas.openxmlformats.org/officeDocument/2006/relationships" ref="H10" r:id="rId64"/>
    <hyperlink xmlns:r="http://schemas.openxmlformats.org/officeDocument/2006/relationships" ref="P10" r:id="rId65"/>
    <hyperlink xmlns:r="http://schemas.openxmlformats.org/officeDocument/2006/relationships" ref="T10" r:id="rId66"/>
    <hyperlink xmlns:r="http://schemas.openxmlformats.org/officeDocument/2006/relationships" ref="X10" r:id="rId67"/>
    <hyperlink xmlns:r="http://schemas.openxmlformats.org/officeDocument/2006/relationships" ref="AV10" r:id="rId68"/>
    <hyperlink xmlns:r="http://schemas.openxmlformats.org/officeDocument/2006/relationships" ref="C11" r:id="rId69"/>
    <hyperlink xmlns:r="http://schemas.openxmlformats.org/officeDocument/2006/relationships" ref="D11" r:id="rId70"/>
    <hyperlink xmlns:r="http://schemas.openxmlformats.org/officeDocument/2006/relationships" ref="H11" r:id="rId71"/>
    <hyperlink xmlns:r="http://schemas.openxmlformats.org/officeDocument/2006/relationships" ref="P11" r:id="rId72"/>
    <hyperlink xmlns:r="http://schemas.openxmlformats.org/officeDocument/2006/relationships" ref="T11" r:id="rId73"/>
    <hyperlink xmlns:r="http://schemas.openxmlformats.org/officeDocument/2006/relationships" ref="X11" r:id="rId74"/>
    <hyperlink xmlns:r="http://schemas.openxmlformats.org/officeDocument/2006/relationships" ref="AM11" r:id="rId75"/>
    <hyperlink xmlns:r="http://schemas.openxmlformats.org/officeDocument/2006/relationships" ref="AV11" r:id="rId76"/>
    <hyperlink xmlns:r="http://schemas.openxmlformats.org/officeDocument/2006/relationships" ref="C12" r:id="rId77"/>
    <hyperlink xmlns:r="http://schemas.openxmlformats.org/officeDocument/2006/relationships" ref="D12" r:id="rId78"/>
    <hyperlink xmlns:r="http://schemas.openxmlformats.org/officeDocument/2006/relationships" ref="H12" r:id="rId79"/>
    <hyperlink xmlns:r="http://schemas.openxmlformats.org/officeDocument/2006/relationships" ref="P12" r:id="rId80"/>
    <hyperlink xmlns:r="http://schemas.openxmlformats.org/officeDocument/2006/relationships" ref="T12" r:id="rId81"/>
    <hyperlink xmlns:r="http://schemas.openxmlformats.org/officeDocument/2006/relationships" ref="X12" r:id="rId82"/>
    <hyperlink xmlns:r="http://schemas.openxmlformats.org/officeDocument/2006/relationships" ref="AM12" r:id="rId83"/>
    <hyperlink xmlns:r="http://schemas.openxmlformats.org/officeDocument/2006/relationships" ref="AV12" r:id="rId84"/>
    <hyperlink xmlns:r="http://schemas.openxmlformats.org/officeDocument/2006/relationships" ref="C13" r:id="rId85"/>
    <hyperlink xmlns:r="http://schemas.openxmlformats.org/officeDocument/2006/relationships" ref="D13" r:id="rId86"/>
    <hyperlink xmlns:r="http://schemas.openxmlformats.org/officeDocument/2006/relationships" ref="H13" r:id="rId87"/>
    <hyperlink xmlns:r="http://schemas.openxmlformats.org/officeDocument/2006/relationships" ref="AM13" r:id="rId88"/>
    <hyperlink xmlns:r="http://schemas.openxmlformats.org/officeDocument/2006/relationships" ref="AV13" r:id="rId89"/>
    <hyperlink xmlns:r="http://schemas.openxmlformats.org/officeDocument/2006/relationships" ref="C14" r:id="rId90"/>
    <hyperlink xmlns:r="http://schemas.openxmlformats.org/officeDocument/2006/relationships" ref="D14" r:id="rId91"/>
    <hyperlink xmlns:r="http://schemas.openxmlformats.org/officeDocument/2006/relationships" ref="H14" r:id="rId92"/>
    <hyperlink xmlns:r="http://schemas.openxmlformats.org/officeDocument/2006/relationships" ref="AM14" r:id="rId93"/>
    <hyperlink xmlns:r="http://schemas.openxmlformats.org/officeDocument/2006/relationships" ref="AV14" r:id="rId94"/>
    <hyperlink xmlns:r="http://schemas.openxmlformats.org/officeDocument/2006/relationships" ref="C15" r:id="rId95"/>
    <hyperlink xmlns:r="http://schemas.openxmlformats.org/officeDocument/2006/relationships" ref="D15" r:id="rId96"/>
    <hyperlink xmlns:r="http://schemas.openxmlformats.org/officeDocument/2006/relationships" ref="H15" r:id="rId97"/>
    <hyperlink xmlns:r="http://schemas.openxmlformats.org/officeDocument/2006/relationships" ref="AV15" r:id="rId98"/>
    <hyperlink xmlns:r="http://schemas.openxmlformats.org/officeDocument/2006/relationships" ref="C16" r:id="rId99"/>
    <hyperlink xmlns:r="http://schemas.openxmlformats.org/officeDocument/2006/relationships" ref="D16" r:id="rId100"/>
    <hyperlink xmlns:r="http://schemas.openxmlformats.org/officeDocument/2006/relationships" ref="H16" r:id="rId101"/>
    <hyperlink xmlns:r="http://schemas.openxmlformats.org/officeDocument/2006/relationships" ref="AV16" r:id="rId102"/>
    <hyperlink xmlns:r="http://schemas.openxmlformats.org/officeDocument/2006/relationships" ref="C17" r:id="rId103"/>
    <hyperlink xmlns:r="http://schemas.openxmlformats.org/officeDocument/2006/relationships" ref="D17" r:id="rId104"/>
    <hyperlink xmlns:r="http://schemas.openxmlformats.org/officeDocument/2006/relationships" ref="H17" r:id="rId105"/>
    <hyperlink xmlns:r="http://schemas.openxmlformats.org/officeDocument/2006/relationships" ref="AM17" r:id="rId106"/>
    <hyperlink xmlns:r="http://schemas.openxmlformats.org/officeDocument/2006/relationships" ref="AV17" r:id="rId107"/>
    <hyperlink xmlns:r="http://schemas.openxmlformats.org/officeDocument/2006/relationships" ref="C18" r:id="rId108"/>
    <hyperlink xmlns:r="http://schemas.openxmlformats.org/officeDocument/2006/relationships" ref="D18" r:id="rId109"/>
    <hyperlink xmlns:r="http://schemas.openxmlformats.org/officeDocument/2006/relationships" ref="H18" r:id="rId110"/>
    <hyperlink xmlns:r="http://schemas.openxmlformats.org/officeDocument/2006/relationships" ref="AV18" r:id="rId111"/>
    <hyperlink xmlns:r="http://schemas.openxmlformats.org/officeDocument/2006/relationships" ref="C19" r:id="rId112"/>
    <hyperlink xmlns:r="http://schemas.openxmlformats.org/officeDocument/2006/relationships" ref="D19" r:id="rId113"/>
    <hyperlink xmlns:r="http://schemas.openxmlformats.org/officeDocument/2006/relationships" ref="H19" r:id="rId114"/>
    <hyperlink xmlns:r="http://schemas.openxmlformats.org/officeDocument/2006/relationships" ref="AM19" r:id="rId115"/>
    <hyperlink xmlns:r="http://schemas.openxmlformats.org/officeDocument/2006/relationships" ref="AV19" r:id="rId1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2026-09-19T00:07:11Z</dcterms:created>
  <dcterms:modified xmlns:dcterms="http://purl.org/dc/terms/" xmlns:xsi="http://www.w3.org/2001/XMLSchema-instance" xsi:type="dcterms:W3CDTF">2026-09-19T00:07:11Z</dcterms:modified>
</cp:coreProperties>
</file>