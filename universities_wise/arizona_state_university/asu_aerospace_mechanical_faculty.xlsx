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Max Keywords)" sheetId="1" state="visible" r:id="rId1"/>
    <sheet xmlns:r="http://schemas.openxmlformats.org/officeDocument/2006/relationships" name="All Faculty (Max Keyword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jeokim@asu.edu" TargetMode="External" Id="rId1"/><Relationship Type="http://schemas.openxmlformats.org/officeDocument/2006/relationships/hyperlink" Target="https://search.asu.edu/profile/jkim520" TargetMode="External" Id="rId2"/><Relationship Type="http://schemas.openxmlformats.org/officeDocument/2006/relationships/hyperlink" Target="https://scholar.google.com/citations?view_op=search_authors&amp;mauthors=Jeonglae%20Kim%20Arizona%20State%20University" TargetMode="External" Id="rId3"/><Relationship Type="http://schemas.openxmlformats.org/officeDocument/2006/relationships/hyperlink" Target="https://faculty.engineering.asu.edu/directory/semte/aerospace-and-mechanical-engineering/" TargetMode="External" Id="rId4"/><Relationship Type="http://schemas.openxmlformats.org/officeDocument/2006/relationships/hyperlink" Target="mailto:Werner.Dahm@asu.edu" TargetMode="External" Id="rId5"/><Relationship Type="http://schemas.openxmlformats.org/officeDocument/2006/relationships/hyperlink" Target="https://search.asu.edu/profile/wdahm" TargetMode="External" Id="rId6"/><Relationship Type="http://schemas.openxmlformats.org/officeDocument/2006/relationships/hyperlink" Target="https://scholar.google.com/citations?view_op=search_authors&amp;mauthors=Werner%20Dahm%20Arizona%20State%20University" TargetMode="External" Id="rId7"/><Relationship Type="http://schemas.openxmlformats.org/officeDocument/2006/relationships/hyperlink" Target="https://faculty.engineering.asu.edu/directory/semte/aerospace-and-mechanical-engineering/" TargetMode="External" Id="rId8"/><Relationship Type="http://schemas.openxmlformats.org/officeDocument/2006/relationships/hyperlink" Target="mailto:k.p.chen@asu.edu" TargetMode="External" Id="rId9"/><Relationship Type="http://schemas.openxmlformats.org/officeDocument/2006/relationships/hyperlink" Target="https://search.asu.edu/profile/asuchen" TargetMode="External" Id="rId10"/><Relationship Type="http://schemas.openxmlformats.org/officeDocument/2006/relationships/hyperlink" Target="https://scholar.google.com/citations?hl=en&amp;user=xT-lX9sAAAAJ" TargetMode="External" Id="rId11"/><Relationship Type="http://schemas.openxmlformats.org/officeDocument/2006/relationships/hyperlink" Target="https://faculty.engineering.asu.edu/directory/semte/aerospace-and-mechanical-engineering/" TargetMode="External" Id="rId12"/><Relationship Type="http://schemas.openxmlformats.org/officeDocument/2006/relationships/hyperlink" Target="mailto:Kiran.Ramesh@asu.edu" TargetMode="External" Id="rId13"/><Relationship Type="http://schemas.openxmlformats.org/officeDocument/2006/relationships/hyperlink" Target="https://search.asu.edu/profile/kramesh2" TargetMode="External" Id="rId14"/><Relationship Type="http://schemas.openxmlformats.org/officeDocument/2006/relationships/hyperlink" Target="https://scholar.google.com/citations?hl=en&amp;user=DKc-AgcAAAAJ"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mailto:houssem.kasbaoui@asu.edu" TargetMode="External" Id="rId17"/><Relationship Type="http://schemas.openxmlformats.org/officeDocument/2006/relationships/hyperlink" Target="https://search.asu.edu/profile/mkasbaou" TargetMode="External" Id="rId18"/><Relationship Type="http://schemas.openxmlformats.org/officeDocument/2006/relationships/hyperlink" Target="https://scholar.google.com/citations?view_op=search_authors&amp;mauthors=Mohamed%20Houssem%20Kasbaoui%20Arizona%20State%20University"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aditi@asu.edu" TargetMode="External" Id="rId21"/><Relationship Type="http://schemas.openxmlformats.org/officeDocument/2006/relationships/hyperlink" Target="https://search.asu.edu/profile/chattopa" TargetMode="External" Id="rId22"/><Relationship Type="http://schemas.openxmlformats.org/officeDocument/2006/relationships/hyperlink" Target="https://scholar.google.com/citations?hl=en&amp;user=w3fU9E0AAAAJ"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Gokul.Pathikonda@asu.edu" TargetMode="External" Id="rId25"/><Relationship Type="http://schemas.openxmlformats.org/officeDocument/2006/relationships/hyperlink" Target="https://search.asu.edu/profile/gpathiko" TargetMode="External" Id="rId26"/><Relationship Type="http://schemas.openxmlformats.org/officeDocument/2006/relationships/hyperlink" Target="https://scholar.google.com/citations?view_op=search_authors&amp;mauthors=Gokul%20Pathikonda%20Arizona%20State%20University"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Marcus.Herrmann@asu.edu" TargetMode="External" Id="rId29"/><Relationship Type="http://schemas.openxmlformats.org/officeDocument/2006/relationships/hyperlink" Target="https://search.asu.edu/profile/mherrma1" TargetMode="External" Id="rId30"/><Relationship Type="http://schemas.openxmlformats.org/officeDocument/2006/relationships/hyperlink" Target="https://scholar.google.com/citations?hl=en&amp;user=yv6aCW8AAAAJ" TargetMode="External" Id="rId31"/><Relationship Type="http://schemas.openxmlformats.org/officeDocument/2006/relationships/hyperlink" Target="https://faculty.engineering.asu.edu/directory/semte/aerospace-and-mechanical-engineering/" TargetMode="External" Id="rId32"/><Relationship Type="http://schemas.openxmlformats.org/officeDocument/2006/relationships/hyperlink" Target="mailto:Alberto.Scotti@asu.edu" TargetMode="External" Id="rId33"/><Relationship Type="http://schemas.openxmlformats.org/officeDocument/2006/relationships/hyperlink" Target="https://search.asu.edu/profile/adscotti" TargetMode="External" Id="rId34"/><Relationship Type="http://schemas.openxmlformats.org/officeDocument/2006/relationships/hyperlink" Target="https://scholar.google.com/citations?hl=en&amp;user=HRx2lJQAAAAJ" TargetMode="External" Id="rId35"/><Relationship Type="http://schemas.openxmlformats.org/officeDocument/2006/relationships/hyperlink" Target="https://faculty.engineering.asu.edu/directory/semte/aerospace-and-mechanical-engineering/" TargetMode="External" Id="rId36"/><Relationship Type="http://schemas.openxmlformats.org/officeDocument/2006/relationships/hyperlink" Target="mailto:kwon@asu.edu" TargetMode="External" Id="rId37"/><Relationship Type="http://schemas.openxmlformats.org/officeDocument/2006/relationships/hyperlink" Target="https://search.asu.edu/profile/bkwon2" TargetMode="External" Id="rId38"/><Relationship Type="http://schemas.openxmlformats.org/officeDocument/2006/relationships/hyperlink" Target="https://scholar.google.com/citations?hl=en&amp;user=fs2d97sAAAAJ" TargetMode="External" Id="rId39"/><Relationship Type="http://schemas.openxmlformats.org/officeDocument/2006/relationships/hyperlink" Target="https://faculty.engineering.asu.edu/directory/semte/aerospace-and-mechanical-engineering/" TargetMode="External" Id="rId40"/><Relationship Type="http://schemas.openxmlformats.org/officeDocument/2006/relationships/hyperlink" Target="mailto:Leixin.Ma@asu.edu" TargetMode="External" Id="rId41"/><Relationship Type="http://schemas.openxmlformats.org/officeDocument/2006/relationships/hyperlink" Target="https://search.asu.edu/profile/leixinma" TargetMode="External" Id="rId42"/><Relationship Type="http://schemas.openxmlformats.org/officeDocument/2006/relationships/hyperlink" Target="https://scholar.google.com/citations?hl=en&amp;user=2xQTOc0AAAAJ"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mailto:ypeet@asu.edu" TargetMode="External" Id="rId45"/><Relationship Type="http://schemas.openxmlformats.org/officeDocument/2006/relationships/hyperlink" Target="https://search.asu.edu/profile/ypeet" TargetMode="External" Id="rId46"/><Relationship Type="http://schemas.openxmlformats.org/officeDocument/2006/relationships/hyperlink" Target="https://scholar.google.com/citations?hl=en&amp;user=_6o8MrUAAAAJ"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mailto:Huei-Ping.Huang@asu.edu" TargetMode="External" Id="rId49"/><Relationship Type="http://schemas.openxmlformats.org/officeDocument/2006/relationships/hyperlink" Target="https://search.asu.edu/profile/hhuang38" TargetMode="External" Id="rId50"/><Relationship Type="http://schemas.openxmlformats.org/officeDocument/2006/relationships/hyperlink" Target="https://scholar.google.com/citations?view_op=search_authors&amp;mauthors=Huei-Ping%20Huang%20Arizona%20State%20University"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rnmurthy@asu.edu" TargetMode="External" Id="rId53"/><Relationship Type="http://schemas.openxmlformats.org/officeDocument/2006/relationships/hyperlink" Target="https://search.asu.edu/profile/rnmurthy" TargetMode="External" Id="rId54"/><Relationship Type="http://schemas.openxmlformats.org/officeDocument/2006/relationships/hyperlink" Target="https://scholar.google.com/citations?view_op=search_authors&amp;mauthors=Raghavendra%20Murthy%20Arizona%20State%20University" TargetMode="External" Id="rId55"/><Relationship Type="http://schemas.openxmlformats.org/officeDocument/2006/relationships/hyperlink" Target="https://faculty.engineering.asu.edu/directory/semte/aerospace-and-mechanical-engineering/" TargetMode="External" Id="rId56"/><Relationship Type="http://schemas.openxmlformats.org/officeDocument/2006/relationships/hyperlink" Target="mailto:Ryan.Milcarek@asu.edu" TargetMode="External" Id="rId57"/><Relationship Type="http://schemas.openxmlformats.org/officeDocument/2006/relationships/hyperlink" Target="https://search.asu.edu/profile/rjmilcar" TargetMode="External" Id="rId58"/><Relationship Type="http://schemas.openxmlformats.org/officeDocument/2006/relationships/hyperlink" Target="https://scholar.google.com/citations?view_op=search_authors&amp;mauthors=Ryan%20Milcarek%20Arizona%20State%20University" TargetMode="External" Id="rId59"/><Relationship Type="http://schemas.openxmlformats.org/officeDocument/2006/relationships/hyperlink" Target="https://faculty.engineering.asu.edu/directory/semte/aerospace-and-mechanical-engineering/" TargetMode="External" Id="rId60"/><Relationship Type="http://schemas.openxmlformats.org/officeDocument/2006/relationships/hyperlink" Target="mailto:ATTWL@asu.edu" TargetMode="External" Id="rId61"/><Relationship Type="http://schemas.openxmlformats.org/officeDocument/2006/relationships/hyperlink" Target="https://search.asu.edu/profile/attwl" TargetMode="External" Id="rId62"/><Relationship Type="http://schemas.openxmlformats.org/officeDocument/2006/relationships/hyperlink" Target="https://scholar.google.com/citations?view_op=search_authors&amp;mauthors=T.-W.%20Lee%20Arizona%20State%20University" TargetMode="External" Id="rId63"/><Relationship Type="http://schemas.openxmlformats.org/officeDocument/2006/relationships/hyperlink" Target="https://faculty.engineering.asu.edu/directory/semte/aerospace-and-mechanical-engineering/" TargetMode="External" Id="rId64"/><Relationship Type="http://schemas.openxmlformats.org/officeDocument/2006/relationships/hyperlink" Target="mailto:zhuanghl@asu.edu" TargetMode="External" Id="rId65"/><Relationship Type="http://schemas.openxmlformats.org/officeDocument/2006/relationships/hyperlink" Target="https://search.asu.edu/profile/hzhuang7" TargetMode="External" Id="rId66"/><Relationship Type="http://schemas.openxmlformats.org/officeDocument/2006/relationships/hyperlink" Target="https://scholar.google.com/citations?hl=en&amp;user=4yYKCpUAAAAJ" TargetMode="External" Id="rId67"/><Relationship Type="http://schemas.openxmlformats.org/officeDocument/2006/relationships/hyperlink" Target="https://faculty.engineering.asu.edu/directory/semte/aerospace-and-mechanical-engineering/" TargetMode="External" Id="rId68"/><Relationship Type="http://schemas.openxmlformats.org/officeDocument/2006/relationships/hyperlink" Target="mailto:huanwu@asu.edu" TargetMode="External" Id="rId69"/><Relationship Type="http://schemas.openxmlformats.org/officeDocument/2006/relationships/hyperlink" Target="https://search.asu.edu/profile/huanwu" TargetMode="External" Id="rId70"/><Relationship Type="http://schemas.openxmlformats.org/officeDocument/2006/relationships/hyperlink" Target="https://scholar.google.com/citations?hl=en&amp;user=8CS4X9IAAAAJ"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mailto:Jagannathan.Rajagopalan@asu.edu" TargetMode="External" Id="rId73"/><Relationship Type="http://schemas.openxmlformats.org/officeDocument/2006/relationships/hyperlink" Target="https://search.asu.edu/profile/jrajago1" TargetMode="External" Id="rId74"/><Relationship Type="http://schemas.openxmlformats.org/officeDocument/2006/relationships/hyperlink" Target="https://scholar.google.com/citations?hl=en&amp;user=ClqRIhIAAAAJ"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joswald1@asu.edu" TargetMode="External" Id="rId77"/><Relationship Type="http://schemas.openxmlformats.org/officeDocument/2006/relationships/hyperlink" Target="https://search.asu.edu/profile/joswald1" TargetMode="External" Id="rId78"/><Relationship Type="http://schemas.openxmlformats.org/officeDocument/2006/relationships/hyperlink" Target="https://scholar.google.com/citations?view_op=search_authors&amp;mauthors=Jay%20Oswald%20Arizona%20State%20University"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kgarg24@asu.edu" TargetMode="External" Id="rId81"/><Relationship Type="http://schemas.openxmlformats.org/officeDocument/2006/relationships/hyperlink" Target="https://search.asu.edu/profile/kgarg24" TargetMode="External" Id="rId82"/><Relationship Type="http://schemas.openxmlformats.org/officeDocument/2006/relationships/hyperlink" Target="https://scholar.google.com/citations?hl=en&amp;user=vs3pl-8AAAAJ"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Liping.Wang@asu.edu" TargetMode="External" Id="rId85"/><Relationship Type="http://schemas.openxmlformats.org/officeDocument/2006/relationships/hyperlink" Target="https://search.asu.edu/profile/lwang78" TargetMode="External" Id="rId86"/><Relationship Type="http://schemas.openxmlformats.org/officeDocument/2006/relationships/hyperlink" Target="https://scholar.google.com/citations?view_op=search_authors&amp;mauthors=Liping%20Wang%20Arizona%20State%20University"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mpeet@asu.edu" TargetMode="External" Id="rId89"/><Relationship Type="http://schemas.openxmlformats.org/officeDocument/2006/relationships/hyperlink" Target="https://search.asu.edu/profile/mpeet" TargetMode="External" Id="rId90"/><Relationship Type="http://schemas.openxmlformats.org/officeDocument/2006/relationships/hyperlink" Target="https://scholar.google.com/citations?view_op=search_authors&amp;mauthors=Matthew%20Peet%20Arizona%20State%20University"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minglei.qu@asu.edu" TargetMode="External" Id="rId93"/><Relationship Type="http://schemas.openxmlformats.org/officeDocument/2006/relationships/hyperlink" Target="https://search.asu.edu/profile/mingleiq" TargetMode="External" Id="rId94"/><Relationship Type="http://schemas.openxmlformats.org/officeDocument/2006/relationships/hyperlink" Target="https://scholar.google.com/citations?hl=en&amp;user=9LWNC50AAAAJ" TargetMode="External" Id="rId95"/><Relationship Type="http://schemas.openxmlformats.org/officeDocument/2006/relationships/hyperlink" Target="https://faculty.engineering.asu.edu/directory/semte/aerospace-and-mechanical-engineering/" TargetMode="External" Id="rId96"/><Relationship Type="http://schemas.openxmlformats.org/officeDocument/2006/relationships/hyperlink" Target="mailto:rywang@asu.edu" TargetMode="External" Id="rId97"/><Relationship Type="http://schemas.openxmlformats.org/officeDocument/2006/relationships/hyperlink" Target="https://search.asu.edu/profile/rywang" TargetMode="External" Id="rId98"/><Relationship Type="http://schemas.openxmlformats.org/officeDocument/2006/relationships/hyperlink" Target="https://scholar.google.com/citations?hl=en&amp;user=LaUdx9gAAAAJ" TargetMode="External" Id="rId99"/><Relationship Type="http://schemas.openxmlformats.org/officeDocument/2006/relationships/hyperlink" Target="https://faculty.engineering.asu.edu/directory/semte/aerospace-and-mechanical-engineering/" TargetMode="External" Id="rId100"/><Relationship Type="http://schemas.openxmlformats.org/officeDocument/2006/relationships/hyperlink" Target="mailto:Ronald.Calhoun@asu.edu" TargetMode="External" Id="rId101"/><Relationship Type="http://schemas.openxmlformats.org/officeDocument/2006/relationships/hyperlink" Target="https://search.asu.edu/profile/rcalhou" TargetMode="External" Id="rId102"/><Relationship Type="http://schemas.openxmlformats.org/officeDocument/2006/relationships/hyperlink" Target="https://scholar.google.com/citations?view_op=search_authors&amp;mauthors=Ronald%20Calhoun%20Arizona%20State%20University" TargetMode="External" Id="rId103"/><Relationship Type="http://schemas.openxmlformats.org/officeDocument/2006/relationships/hyperlink" Target="https://faculty.engineering.asu.edu/directory/semte/aerospace-and-mechanical-engineering/" TargetMode="External" Id="rId104"/><Relationship Type="http://schemas.openxmlformats.org/officeDocument/2006/relationships/hyperlink" Target="mailto:Spring.Berman@asu.edu" TargetMode="External" Id="rId105"/><Relationship Type="http://schemas.openxmlformats.org/officeDocument/2006/relationships/hyperlink" Target="https://search.asu.edu/profile/smberma2" TargetMode="External" Id="rId106"/><Relationship Type="http://schemas.openxmlformats.org/officeDocument/2006/relationships/hyperlink" Target="https://scholar.google.com/citations?hl=en&amp;user=KKup0OgAAAAJ"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mailto:Tianyu.Yang@asu.edu" TargetMode="External" Id="rId109"/><Relationship Type="http://schemas.openxmlformats.org/officeDocument/2006/relationships/hyperlink" Target="https://search.asu.edu/profile/tyang123" TargetMode="External" Id="rId110"/><Relationship Type="http://schemas.openxmlformats.org/officeDocument/2006/relationships/hyperlink" Target="https://scholar.google.com/citations?view_op=search_authors&amp;mauthors=Tianyu%20Yang%20Arizona%20State%20University"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yiren@asu.edu" TargetMode="External" Id="rId113"/><Relationship Type="http://schemas.openxmlformats.org/officeDocument/2006/relationships/hyperlink" Target="https://search.asu.edu/profile/yren32" TargetMode="External" Id="rId114"/><Relationship Type="http://schemas.openxmlformats.org/officeDocument/2006/relationships/hyperlink" Target="https://scholar.google.com/citations?view_op=search_authors&amp;mauthors=Yi%20Ren%20Arizona%20State%20University"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ongming.Liu@asu.edu" TargetMode="External" Id="rId117"/><Relationship Type="http://schemas.openxmlformats.org/officeDocument/2006/relationships/hyperlink" Target="https://search.asu.edu/profile/yliu35" TargetMode="External" Id="rId118"/><Relationship Type="http://schemas.openxmlformats.org/officeDocument/2006/relationships/hyperlink" Target="https://scholar.google.com/citations?view_op=search_authors&amp;mauthors=Yongming%20Liu%20Arizona%20State%20University" TargetMode="External" Id="rId119"/><Relationship Type="http://schemas.openxmlformats.org/officeDocument/2006/relationships/hyperlink" Target="https://faculty.engineering.asu.edu/directory/semte/aerospace-and-mechanical-engineering/" TargetMode="External" Id="rId120"/></Relationships>
</file>

<file path=xl/worksheets/_rels/sheet2.xml.rels><Relationships xmlns="http://schemas.openxmlformats.org/package/2006/relationships"><Relationship Type="http://schemas.openxmlformats.org/officeDocument/2006/relationships/hyperlink" Target="mailto:jeokim@asu.edu" TargetMode="External" Id="rId1"/><Relationship Type="http://schemas.openxmlformats.org/officeDocument/2006/relationships/hyperlink" Target="https://search.asu.edu/profile/jkim520" TargetMode="External" Id="rId2"/><Relationship Type="http://schemas.openxmlformats.org/officeDocument/2006/relationships/hyperlink" Target="https://scholar.google.com/citations?view_op=search_authors&amp;mauthors=Jeonglae%20Kim%20Arizona%20State%20University" TargetMode="External" Id="rId3"/><Relationship Type="http://schemas.openxmlformats.org/officeDocument/2006/relationships/hyperlink" Target="https://faculty.engineering.asu.edu/directory/semte/aerospace-and-mechanical-engineering/" TargetMode="External" Id="rId4"/><Relationship Type="http://schemas.openxmlformats.org/officeDocument/2006/relationships/hyperlink" Target="mailto:Werner.Dahm@asu.edu" TargetMode="External" Id="rId5"/><Relationship Type="http://schemas.openxmlformats.org/officeDocument/2006/relationships/hyperlink" Target="https://search.asu.edu/profile/wdahm" TargetMode="External" Id="rId6"/><Relationship Type="http://schemas.openxmlformats.org/officeDocument/2006/relationships/hyperlink" Target="https://scholar.google.com/citations?view_op=search_authors&amp;mauthors=Werner%20Dahm%20Arizona%20State%20University" TargetMode="External" Id="rId7"/><Relationship Type="http://schemas.openxmlformats.org/officeDocument/2006/relationships/hyperlink" Target="https://faculty.engineering.asu.edu/directory/semte/aerospace-and-mechanical-engineering/" TargetMode="External" Id="rId8"/><Relationship Type="http://schemas.openxmlformats.org/officeDocument/2006/relationships/hyperlink" Target="mailto:k.p.chen@asu.edu" TargetMode="External" Id="rId9"/><Relationship Type="http://schemas.openxmlformats.org/officeDocument/2006/relationships/hyperlink" Target="https://search.asu.edu/profile/asuchen" TargetMode="External" Id="rId10"/><Relationship Type="http://schemas.openxmlformats.org/officeDocument/2006/relationships/hyperlink" Target="https://scholar.google.com/citations?hl=en&amp;user=xT-lX9sAAAAJ" TargetMode="External" Id="rId11"/><Relationship Type="http://schemas.openxmlformats.org/officeDocument/2006/relationships/hyperlink" Target="https://faculty.engineering.asu.edu/directory/semte/aerospace-and-mechanical-engineering/" TargetMode="External" Id="rId12"/><Relationship Type="http://schemas.openxmlformats.org/officeDocument/2006/relationships/hyperlink" Target="mailto:Kiran.Ramesh@asu.edu" TargetMode="External" Id="rId13"/><Relationship Type="http://schemas.openxmlformats.org/officeDocument/2006/relationships/hyperlink" Target="https://search.asu.edu/profile/kramesh2" TargetMode="External" Id="rId14"/><Relationship Type="http://schemas.openxmlformats.org/officeDocument/2006/relationships/hyperlink" Target="https://scholar.google.com/citations?hl=en&amp;user=DKc-AgcAAAAJ" TargetMode="External" Id="rId15"/><Relationship Type="http://schemas.openxmlformats.org/officeDocument/2006/relationships/hyperlink" Target="https://faculty.engineering.asu.edu/directory/semte/aerospace-and-mechanical-engineering/" TargetMode="External" Id="rId16"/><Relationship Type="http://schemas.openxmlformats.org/officeDocument/2006/relationships/hyperlink" Target="mailto:houssem.kasbaoui@asu.edu" TargetMode="External" Id="rId17"/><Relationship Type="http://schemas.openxmlformats.org/officeDocument/2006/relationships/hyperlink" Target="https://search.asu.edu/profile/mkasbaou" TargetMode="External" Id="rId18"/><Relationship Type="http://schemas.openxmlformats.org/officeDocument/2006/relationships/hyperlink" Target="https://scholar.google.com/citations?view_op=search_authors&amp;mauthors=Mohamed%20Houssem%20Kasbaoui%20Arizona%20State%20University"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aditi@asu.edu" TargetMode="External" Id="rId21"/><Relationship Type="http://schemas.openxmlformats.org/officeDocument/2006/relationships/hyperlink" Target="https://search.asu.edu/profile/chattopa" TargetMode="External" Id="rId22"/><Relationship Type="http://schemas.openxmlformats.org/officeDocument/2006/relationships/hyperlink" Target="https://scholar.google.com/citations?hl=en&amp;user=w3fU9E0AAAAJ"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Gokul.Pathikonda@asu.edu" TargetMode="External" Id="rId25"/><Relationship Type="http://schemas.openxmlformats.org/officeDocument/2006/relationships/hyperlink" Target="https://search.asu.edu/profile/gpathiko" TargetMode="External" Id="rId26"/><Relationship Type="http://schemas.openxmlformats.org/officeDocument/2006/relationships/hyperlink" Target="https://scholar.google.com/citations?view_op=search_authors&amp;mauthors=Gokul%20Pathikonda%20Arizona%20State%20University"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Marcus.Herrmann@asu.edu" TargetMode="External" Id="rId29"/><Relationship Type="http://schemas.openxmlformats.org/officeDocument/2006/relationships/hyperlink" Target="https://search.asu.edu/profile/mherrma1" TargetMode="External" Id="rId30"/><Relationship Type="http://schemas.openxmlformats.org/officeDocument/2006/relationships/hyperlink" Target="https://scholar.google.com/citations?hl=en&amp;user=yv6aCW8AAAAJ" TargetMode="External" Id="rId31"/><Relationship Type="http://schemas.openxmlformats.org/officeDocument/2006/relationships/hyperlink" Target="https://faculty.engineering.asu.edu/directory/semte/aerospace-and-mechanical-engineering/" TargetMode="External" Id="rId32"/><Relationship Type="http://schemas.openxmlformats.org/officeDocument/2006/relationships/hyperlink" Target="mailto:Alberto.Scotti@asu.edu" TargetMode="External" Id="rId33"/><Relationship Type="http://schemas.openxmlformats.org/officeDocument/2006/relationships/hyperlink" Target="https://search.asu.edu/profile/adscotti" TargetMode="External" Id="rId34"/><Relationship Type="http://schemas.openxmlformats.org/officeDocument/2006/relationships/hyperlink" Target="https://scholar.google.com/citations?hl=en&amp;user=HRx2lJQAAAAJ" TargetMode="External" Id="rId35"/><Relationship Type="http://schemas.openxmlformats.org/officeDocument/2006/relationships/hyperlink" Target="https://faculty.engineering.asu.edu/directory/semte/aerospace-and-mechanical-engineering/" TargetMode="External" Id="rId36"/><Relationship Type="http://schemas.openxmlformats.org/officeDocument/2006/relationships/hyperlink" Target="mailto:kwon@asu.edu" TargetMode="External" Id="rId37"/><Relationship Type="http://schemas.openxmlformats.org/officeDocument/2006/relationships/hyperlink" Target="https://search.asu.edu/profile/bkwon2" TargetMode="External" Id="rId38"/><Relationship Type="http://schemas.openxmlformats.org/officeDocument/2006/relationships/hyperlink" Target="https://scholar.google.com/citations?hl=en&amp;user=fs2d97sAAAAJ" TargetMode="External" Id="rId39"/><Relationship Type="http://schemas.openxmlformats.org/officeDocument/2006/relationships/hyperlink" Target="https://faculty.engineering.asu.edu/directory/semte/aerospace-and-mechanical-engineering/" TargetMode="External" Id="rId40"/><Relationship Type="http://schemas.openxmlformats.org/officeDocument/2006/relationships/hyperlink" Target="mailto:Leixin.Ma@asu.edu" TargetMode="External" Id="rId41"/><Relationship Type="http://schemas.openxmlformats.org/officeDocument/2006/relationships/hyperlink" Target="https://search.asu.edu/profile/leixinma" TargetMode="External" Id="rId42"/><Relationship Type="http://schemas.openxmlformats.org/officeDocument/2006/relationships/hyperlink" Target="https://scholar.google.com/citations?hl=en&amp;user=2xQTOc0AAAAJ" TargetMode="External" Id="rId43"/><Relationship Type="http://schemas.openxmlformats.org/officeDocument/2006/relationships/hyperlink" Target="https://faculty.engineering.asu.edu/directory/semte/aerospace-and-mechanical-engineering/" TargetMode="External" Id="rId44"/><Relationship Type="http://schemas.openxmlformats.org/officeDocument/2006/relationships/hyperlink" Target="mailto:ypeet@asu.edu" TargetMode="External" Id="rId45"/><Relationship Type="http://schemas.openxmlformats.org/officeDocument/2006/relationships/hyperlink" Target="https://search.asu.edu/profile/ypeet" TargetMode="External" Id="rId46"/><Relationship Type="http://schemas.openxmlformats.org/officeDocument/2006/relationships/hyperlink" Target="https://scholar.google.com/citations?hl=en&amp;user=_6o8MrUAAAAJ" TargetMode="External" Id="rId47"/><Relationship Type="http://schemas.openxmlformats.org/officeDocument/2006/relationships/hyperlink" Target="https://faculty.engineering.asu.edu/directory/semte/aerospace-and-mechanical-engineering/" TargetMode="External" Id="rId48"/><Relationship Type="http://schemas.openxmlformats.org/officeDocument/2006/relationships/hyperlink" Target="mailto:Huei-Ping.Huang@asu.edu" TargetMode="External" Id="rId49"/><Relationship Type="http://schemas.openxmlformats.org/officeDocument/2006/relationships/hyperlink" Target="https://search.asu.edu/profile/hhuang38" TargetMode="External" Id="rId50"/><Relationship Type="http://schemas.openxmlformats.org/officeDocument/2006/relationships/hyperlink" Target="https://scholar.google.com/citations?view_op=search_authors&amp;mauthors=Huei-Ping%20Huang%20Arizona%20State%20University"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rnmurthy@asu.edu" TargetMode="External" Id="rId53"/><Relationship Type="http://schemas.openxmlformats.org/officeDocument/2006/relationships/hyperlink" Target="https://search.asu.edu/profile/rnmurthy" TargetMode="External" Id="rId54"/><Relationship Type="http://schemas.openxmlformats.org/officeDocument/2006/relationships/hyperlink" Target="https://scholar.google.com/citations?view_op=search_authors&amp;mauthors=Raghavendra%20Murthy%20Arizona%20State%20University" TargetMode="External" Id="rId55"/><Relationship Type="http://schemas.openxmlformats.org/officeDocument/2006/relationships/hyperlink" Target="https://faculty.engineering.asu.edu/directory/semte/aerospace-and-mechanical-engineering/" TargetMode="External" Id="rId56"/><Relationship Type="http://schemas.openxmlformats.org/officeDocument/2006/relationships/hyperlink" Target="mailto:Ryan.Milcarek@asu.edu" TargetMode="External" Id="rId57"/><Relationship Type="http://schemas.openxmlformats.org/officeDocument/2006/relationships/hyperlink" Target="https://search.asu.edu/profile/rjmilcar" TargetMode="External" Id="rId58"/><Relationship Type="http://schemas.openxmlformats.org/officeDocument/2006/relationships/hyperlink" Target="https://scholar.google.com/citations?view_op=search_authors&amp;mauthors=Ryan%20Milcarek%20Arizona%20State%20University" TargetMode="External" Id="rId59"/><Relationship Type="http://schemas.openxmlformats.org/officeDocument/2006/relationships/hyperlink" Target="https://faculty.engineering.asu.edu/directory/semte/aerospace-and-mechanical-engineering/" TargetMode="External" Id="rId60"/><Relationship Type="http://schemas.openxmlformats.org/officeDocument/2006/relationships/hyperlink" Target="mailto:ATTWL@asu.edu" TargetMode="External" Id="rId61"/><Relationship Type="http://schemas.openxmlformats.org/officeDocument/2006/relationships/hyperlink" Target="https://search.asu.edu/profile/attwl" TargetMode="External" Id="rId62"/><Relationship Type="http://schemas.openxmlformats.org/officeDocument/2006/relationships/hyperlink" Target="https://scholar.google.com/citations?view_op=search_authors&amp;mauthors=T.-W.%20Lee%20Arizona%20State%20University" TargetMode="External" Id="rId63"/><Relationship Type="http://schemas.openxmlformats.org/officeDocument/2006/relationships/hyperlink" Target="https://faculty.engineering.asu.edu/directory/semte/aerospace-and-mechanical-engineering/" TargetMode="External" Id="rId64"/><Relationship Type="http://schemas.openxmlformats.org/officeDocument/2006/relationships/hyperlink" Target="mailto:zhuanghl@asu.edu" TargetMode="External" Id="rId65"/><Relationship Type="http://schemas.openxmlformats.org/officeDocument/2006/relationships/hyperlink" Target="https://search.asu.edu/profile/hzhuang7" TargetMode="External" Id="rId66"/><Relationship Type="http://schemas.openxmlformats.org/officeDocument/2006/relationships/hyperlink" Target="https://scholar.google.com/citations?hl=en&amp;user=4yYKCpUAAAAJ" TargetMode="External" Id="rId67"/><Relationship Type="http://schemas.openxmlformats.org/officeDocument/2006/relationships/hyperlink" Target="https://faculty.engineering.asu.edu/directory/semte/aerospace-and-mechanical-engineering/" TargetMode="External" Id="rId68"/><Relationship Type="http://schemas.openxmlformats.org/officeDocument/2006/relationships/hyperlink" Target="mailto:huanwu@asu.edu" TargetMode="External" Id="rId69"/><Relationship Type="http://schemas.openxmlformats.org/officeDocument/2006/relationships/hyperlink" Target="https://search.asu.edu/profile/huanwu" TargetMode="External" Id="rId70"/><Relationship Type="http://schemas.openxmlformats.org/officeDocument/2006/relationships/hyperlink" Target="https://scholar.google.com/citations?hl=en&amp;user=8CS4X9IAAAAJ"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mailto:Jagannathan.Rajagopalan@asu.edu" TargetMode="External" Id="rId73"/><Relationship Type="http://schemas.openxmlformats.org/officeDocument/2006/relationships/hyperlink" Target="https://search.asu.edu/profile/jrajago1" TargetMode="External" Id="rId74"/><Relationship Type="http://schemas.openxmlformats.org/officeDocument/2006/relationships/hyperlink" Target="https://scholar.google.com/citations?hl=en&amp;user=ClqRIhIAAAAJ"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joswald1@asu.edu" TargetMode="External" Id="rId77"/><Relationship Type="http://schemas.openxmlformats.org/officeDocument/2006/relationships/hyperlink" Target="https://search.asu.edu/profile/joswald1" TargetMode="External" Id="rId78"/><Relationship Type="http://schemas.openxmlformats.org/officeDocument/2006/relationships/hyperlink" Target="https://scholar.google.com/citations?view_op=search_authors&amp;mauthors=Jay%20Oswald%20Arizona%20State%20University"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kgarg24@asu.edu" TargetMode="External" Id="rId81"/><Relationship Type="http://schemas.openxmlformats.org/officeDocument/2006/relationships/hyperlink" Target="https://search.asu.edu/profile/kgarg24" TargetMode="External" Id="rId82"/><Relationship Type="http://schemas.openxmlformats.org/officeDocument/2006/relationships/hyperlink" Target="https://scholar.google.com/citations?hl=en&amp;user=vs3pl-8AAAAJ"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Liping.Wang@asu.edu" TargetMode="External" Id="rId85"/><Relationship Type="http://schemas.openxmlformats.org/officeDocument/2006/relationships/hyperlink" Target="https://search.asu.edu/profile/lwang78" TargetMode="External" Id="rId86"/><Relationship Type="http://schemas.openxmlformats.org/officeDocument/2006/relationships/hyperlink" Target="https://scholar.google.com/citations?view_op=search_authors&amp;mauthors=Liping%20Wang%20Arizona%20State%20University"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mpeet@asu.edu" TargetMode="External" Id="rId89"/><Relationship Type="http://schemas.openxmlformats.org/officeDocument/2006/relationships/hyperlink" Target="https://search.asu.edu/profile/mpeet" TargetMode="External" Id="rId90"/><Relationship Type="http://schemas.openxmlformats.org/officeDocument/2006/relationships/hyperlink" Target="https://scholar.google.com/citations?view_op=search_authors&amp;mauthors=Matthew%20Peet%20Arizona%20State%20University"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minglei.qu@asu.edu" TargetMode="External" Id="rId93"/><Relationship Type="http://schemas.openxmlformats.org/officeDocument/2006/relationships/hyperlink" Target="https://search.asu.edu/profile/mingleiq" TargetMode="External" Id="rId94"/><Relationship Type="http://schemas.openxmlformats.org/officeDocument/2006/relationships/hyperlink" Target="https://scholar.google.com/citations?hl=en&amp;user=9LWNC50AAAAJ" TargetMode="External" Id="rId95"/><Relationship Type="http://schemas.openxmlformats.org/officeDocument/2006/relationships/hyperlink" Target="https://faculty.engineering.asu.edu/directory/semte/aerospace-and-mechanical-engineering/" TargetMode="External" Id="rId96"/><Relationship Type="http://schemas.openxmlformats.org/officeDocument/2006/relationships/hyperlink" Target="mailto:rywang@asu.edu" TargetMode="External" Id="rId97"/><Relationship Type="http://schemas.openxmlformats.org/officeDocument/2006/relationships/hyperlink" Target="https://search.asu.edu/profile/rywang" TargetMode="External" Id="rId98"/><Relationship Type="http://schemas.openxmlformats.org/officeDocument/2006/relationships/hyperlink" Target="https://scholar.google.com/citations?hl=en&amp;user=LaUdx9gAAAAJ" TargetMode="External" Id="rId99"/><Relationship Type="http://schemas.openxmlformats.org/officeDocument/2006/relationships/hyperlink" Target="https://faculty.engineering.asu.edu/directory/semte/aerospace-and-mechanical-engineering/" TargetMode="External" Id="rId100"/><Relationship Type="http://schemas.openxmlformats.org/officeDocument/2006/relationships/hyperlink" Target="mailto:Ronald.Calhoun@asu.edu" TargetMode="External" Id="rId101"/><Relationship Type="http://schemas.openxmlformats.org/officeDocument/2006/relationships/hyperlink" Target="https://search.asu.edu/profile/rcalhou" TargetMode="External" Id="rId102"/><Relationship Type="http://schemas.openxmlformats.org/officeDocument/2006/relationships/hyperlink" Target="https://scholar.google.com/citations?view_op=search_authors&amp;mauthors=Ronald%20Calhoun%20Arizona%20State%20University" TargetMode="External" Id="rId103"/><Relationship Type="http://schemas.openxmlformats.org/officeDocument/2006/relationships/hyperlink" Target="https://faculty.engineering.asu.edu/directory/semte/aerospace-and-mechanical-engineering/" TargetMode="External" Id="rId104"/><Relationship Type="http://schemas.openxmlformats.org/officeDocument/2006/relationships/hyperlink" Target="mailto:Spring.Berman@asu.edu" TargetMode="External" Id="rId105"/><Relationship Type="http://schemas.openxmlformats.org/officeDocument/2006/relationships/hyperlink" Target="https://search.asu.edu/profile/smberma2" TargetMode="External" Id="rId106"/><Relationship Type="http://schemas.openxmlformats.org/officeDocument/2006/relationships/hyperlink" Target="https://scholar.google.com/citations?hl=en&amp;user=KKup0OgAAAAJ" TargetMode="External" Id="rId107"/><Relationship Type="http://schemas.openxmlformats.org/officeDocument/2006/relationships/hyperlink" Target="https://faculty.engineering.asu.edu/directory/semte/aerospace-and-mechanical-engineering/" TargetMode="External" Id="rId108"/><Relationship Type="http://schemas.openxmlformats.org/officeDocument/2006/relationships/hyperlink" Target="mailto:Tianyu.Yang@asu.edu" TargetMode="External" Id="rId109"/><Relationship Type="http://schemas.openxmlformats.org/officeDocument/2006/relationships/hyperlink" Target="https://search.asu.edu/profile/tyang123" TargetMode="External" Id="rId110"/><Relationship Type="http://schemas.openxmlformats.org/officeDocument/2006/relationships/hyperlink" Target="https://scholar.google.com/citations?view_op=search_authors&amp;mauthors=Tianyu%20Yang%20Arizona%20State%20University"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yiren@asu.edu" TargetMode="External" Id="rId113"/><Relationship Type="http://schemas.openxmlformats.org/officeDocument/2006/relationships/hyperlink" Target="https://search.asu.edu/profile/yren32" TargetMode="External" Id="rId114"/><Relationship Type="http://schemas.openxmlformats.org/officeDocument/2006/relationships/hyperlink" Target="https://scholar.google.com/citations?view_op=search_authors&amp;mauthors=Yi%20Ren%20Arizona%20State%20University"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ongming.Liu@asu.edu" TargetMode="External" Id="rId117"/><Relationship Type="http://schemas.openxmlformats.org/officeDocument/2006/relationships/hyperlink" Target="https://search.asu.edu/profile/yliu35" TargetMode="External" Id="rId118"/><Relationship Type="http://schemas.openxmlformats.org/officeDocument/2006/relationships/hyperlink" Target="https://scholar.google.com/citations?view_op=search_authors&amp;mauthors=Yongming%20Liu%20Arizona%20State%20University" TargetMode="External" Id="rId119"/><Relationship Type="http://schemas.openxmlformats.org/officeDocument/2006/relationships/hyperlink" Target="https://faculty.engineering.asu.edu/directory/semte/aerospace-and-mechanical-engineering/" TargetMode="External" Id="rId120"/><Relationship Type="http://schemas.openxmlformats.org/officeDocument/2006/relationships/hyperlink" Target="mailto:astefan9@asu.edu" TargetMode="External" Id="rId121"/><Relationship Type="http://schemas.openxmlformats.org/officeDocument/2006/relationships/hyperlink" Target="https://search.asu.edu/profile/astefan9" TargetMode="External" Id="rId122"/><Relationship Type="http://schemas.openxmlformats.org/officeDocument/2006/relationships/hyperlink" Target="https://scholar.google.com/citations?view_op=search_authors&amp;mauthors=Aikaterini%20Stefanaki%20Arizona%20State%20University" TargetMode="External" Id="rId123"/><Relationship Type="http://schemas.openxmlformats.org/officeDocument/2006/relationships/hyperlink" Target="https://faculty.engineering.asu.edu/directory/semte/aerospace-and-mechanical-engineering/" TargetMode="External" Id="rId124"/><Relationship Type="http://schemas.openxmlformats.org/officeDocument/2006/relationships/hyperlink" Target="mailto:xiangjia.li@asu.edu" TargetMode="External" Id="rId125"/><Relationship Type="http://schemas.openxmlformats.org/officeDocument/2006/relationships/hyperlink" Target="https://search.asu.edu/profile/xiangji5" TargetMode="External" Id="rId126"/><Relationship Type="http://schemas.openxmlformats.org/officeDocument/2006/relationships/hyperlink" Target="https://scholar.google.com/citations?hl=en&amp;user=tGQzHJIAAAAJ" TargetMode="External" Id="rId127"/><Relationship Type="http://schemas.openxmlformats.org/officeDocument/2006/relationships/hyperlink" Target="https://faculty.engineering.asu.edu/directory/semte/aerospace-and-mechanical-engineering/" TargetMode="External" Id="rId128"/><Relationship Type="http://schemas.openxmlformats.org/officeDocument/2006/relationships/hyperlink" Target="mailto:Derrick.Speaks@asu.edu" TargetMode="External" Id="rId129"/><Relationship Type="http://schemas.openxmlformats.org/officeDocument/2006/relationships/hyperlink" Target="https://search.asu.edu/profile/dspeaks2" TargetMode="External" Id="rId130"/><Relationship Type="http://schemas.openxmlformats.org/officeDocument/2006/relationships/hyperlink" Target="https://scholar.google.com/citations?view_op=search_authors&amp;mauthors=Derrick%20Speaks%20Arizona%20State%20University" TargetMode="External" Id="rId131"/><Relationship Type="http://schemas.openxmlformats.org/officeDocument/2006/relationships/hyperlink" Target="https://faculty.engineering.asu.edu/directory/semte/aerospace-and-mechanical-engineering/" TargetMode="External" Id="rId132"/><Relationship Type="http://schemas.openxmlformats.org/officeDocument/2006/relationships/hyperlink" Target="mailto:Erik.J.Andersen@asu.edu" TargetMode="External" Id="rId133"/><Relationship Type="http://schemas.openxmlformats.org/officeDocument/2006/relationships/hyperlink" Target="https://search.asu.edu/profile/ejande22" TargetMode="External" Id="rId134"/><Relationship Type="http://schemas.openxmlformats.org/officeDocument/2006/relationships/hyperlink" Target="https://scholar.google.com/citations?view_op=search_authors&amp;mauthors=Erik%20Andersen%20Arizona%20State%20University"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mailto:hmarvi@asu.edu" TargetMode="External" Id="rId137"/><Relationship Type="http://schemas.openxmlformats.org/officeDocument/2006/relationships/hyperlink" Target="https://search.asu.edu/profile/hmarvi" TargetMode="External" Id="rId138"/><Relationship Type="http://schemas.openxmlformats.org/officeDocument/2006/relationships/hyperlink" Target="https://scholar.google.com/citations?hl=en&amp;user=00Fepb0AAAAJ"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mailto:Hyunglae.Lee@asu.edu" TargetMode="External" Id="rId141"/><Relationship Type="http://schemas.openxmlformats.org/officeDocument/2006/relationships/hyperlink" Target="https://search.asu.edu/profile/hlee234" TargetMode="External" Id="rId142"/><Relationship Type="http://schemas.openxmlformats.org/officeDocument/2006/relationships/hyperlink" Target="https://scholar.google.com/citations?view_op=search_authors&amp;mauthors=Hyunglae%20Lee%20Arizona%20State%20University" TargetMode="External" Id="rId143"/><Relationship Type="http://schemas.openxmlformats.org/officeDocument/2006/relationships/hyperlink" Target="https://faculty.engineering.asu.edu/directory/semte/aerospace-and-mechanical-engineering/" TargetMode="External" Id="rId144"/><Relationship Type="http://schemas.openxmlformats.org/officeDocument/2006/relationships/hyperlink" Target="mailto:Ivy.Chang@asu.edu" TargetMode="External" Id="rId145"/><Relationship Type="http://schemas.openxmlformats.org/officeDocument/2006/relationships/hyperlink" Target="https://search.asu.edu/profile/iychang" TargetMode="External" Id="rId146"/><Relationship Type="http://schemas.openxmlformats.org/officeDocument/2006/relationships/hyperlink" Target="https://scholar.google.com/citations?view_op=search_authors&amp;mauthors=Ivy%20Chang%20Arizona%20State%20University" TargetMode="External" Id="rId147"/><Relationship Type="http://schemas.openxmlformats.org/officeDocument/2006/relationships/hyperlink" Target="https://faculty.engineering.asu.edu/directory/semte/aerospace-and-mechanical-engineering/" TargetMode="External" Id="rId148"/><Relationship Type="http://schemas.openxmlformats.org/officeDocument/2006/relationships/hyperlink" Target="mailto:jimbo@asu.edu" TargetMode="External" Id="rId149"/><Relationship Type="http://schemas.openxmlformats.org/officeDocument/2006/relationships/hyperlink" Target="https://search.asu.edu/profile/jimbo" TargetMode="External" Id="rId150"/><Relationship Type="http://schemas.openxmlformats.org/officeDocument/2006/relationships/hyperlink" Target="https://scholar.google.com/citations?view_op=search_authors&amp;mauthors=James%20Middleton%20Arizona%20State%20University" TargetMode="External" Id="rId151"/><Relationship Type="http://schemas.openxmlformats.org/officeDocument/2006/relationships/hyperlink" Target="https://faculty.engineering.asu.edu/directory/semte/aerospace-and-mechanical-engineering/" TargetMode="External" Id="rId152"/><Relationship Type="http://schemas.openxmlformats.org/officeDocument/2006/relationships/hyperlink" Target="mailto:Jiefeng.Sun@asu.edu" TargetMode="External" Id="rId153"/><Relationship Type="http://schemas.openxmlformats.org/officeDocument/2006/relationships/hyperlink" Target="https://search.asu.edu/profile/jsun165" TargetMode="External" Id="rId154"/><Relationship Type="http://schemas.openxmlformats.org/officeDocument/2006/relationships/hyperlink" Target="https://scholar.google.com/citations?hl=en&amp;user=fjUoHOsAAAAJ" TargetMode="External" Id="rId155"/><Relationship Type="http://schemas.openxmlformats.org/officeDocument/2006/relationships/hyperlink" Target="https://faculty.engineering.asu.edu/directory/semte/aerospace-and-mechanical-engineering/" TargetMode="External" Id="rId156"/><Relationship Type="http://schemas.openxmlformats.org/officeDocument/2006/relationships/hyperlink" Target="mailto:Joshua.Wilbur@asu.edu" TargetMode="External" Id="rId157"/><Relationship Type="http://schemas.openxmlformats.org/officeDocument/2006/relationships/hyperlink" Target="https://search.asu.edu/profile/jdwilbu1" TargetMode="External" Id="rId158"/><Relationship Type="http://schemas.openxmlformats.org/officeDocument/2006/relationships/hyperlink" Target="https://scholar.google.com/citations?view_op=search_authors&amp;mauthors=Joshua%20Wilbur%20Arizona%20State%20University" TargetMode="External" Id="rId159"/><Relationship Type="http://schemas.openxmlformats.org/officeDocument/2006/relationships/hyperlink" Target="https://faculty.engineering.asu.edu/directory/semte/aerospace-and-mechanical-engineering/" TargetMode="External" Id="rId160"/><Relationship Type="http://schemas.openxmlformats.org/officeDocument/2006/relationships/hyperlink" Target="mailto:konradr@asu.edu" TargetMode="External" Id="rId161"/><Relationship Type="http://schemas.openxmlformats.org/officeDocument/2006/relationships/hyperlink" Target="https://search.asu.edu/profile/krykacze" TargetMode="External" Id="rId162"/><Relationship Type="http://schemas.openxmlformats.org/officeDocument/2006/relationships/hyperlink" Target="https://scholar.google.com/citations?hl=en&amp;user=SWeAf4UAAAAJ" TargetMode="External" Id="rId163"/><Relationship Type="http://schemas.openxmlformats.org/officeDocument/2006/relationships/hyperlink" Target="https://faculty.engineering.asu.edu/directory/semte/aerospace-and-mechanical-engineering/" TargetMode="External" Id="rId164"/><Relationship Type="http://schemas.openxmlformats.org/officeDocument/2006/relationships/hyperlink" Target="mailto:ladani@asu.edu" TargetMode="External" Id="rId165"/><Relationship Type="http://schemas.openxmlformats.org/officeDocument/2006/relationships/hyperlink" Target="https://search.asu.edu/profile/ljannesa" TargetMode="External" Id="rId166"/><Relationship Type="http://schemas.openxmlformats.org/officeDocument/2006/relationships/hyperlink" Target="https://scholar.google.com/citations?view_op=search_authors&amp;mauthors=Leila%20Ladani%20Arizona%20State%20University"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mailto:Lin.Li.10@asu.edu" TargetMode="External" Id="rId169"/><Relationship Type="http://schemas.openxmlformats.org/officeDocument/2006/relationships/hyperlink" Target="https://search.asu.edu/profile/linli25" TargetMode="External" Id="rId170"/><Relationship Type="http://schemas.openxmlformats.org/officeDocument/2006/relationships/hyperlink" Target="https://scholar.google.com/citations?view_op=search_authors&amp;mauthors=Lin%20Li%20Arizona%20State%20University" TargetMode="External" Id="rId171"/><Relationship Type="http://schemas.openxmlformats.org/officeDocument/2006/relationships/hyperlink" Target="https://faculty.engineering.asu.edu/directory/semte/aerospace-and-mechanical-engineering/" TargetMode="External" Id="rId172"/><Relationship Type="http://schemas.openxmlformats.org/officeDocument/2006/relationships/hyperlink" Target="mailto:marc.mignolet@asu.edu" TargetMode="External" Id="rId173"/><Relationship Type="http://schemas.openxmlformats.org/officeDocument/2006/relationships/hyperlink" Target="https://search.asu.edu/profile/marc03" TargetMode="External" Id="rId174"/><Relationship Type="http://schemas.openxmlformats.org/officeDocument/2006/relationships/hyperlink" Target="https://scholar.google.com/citations?view_op=search_authors&amp;mauthors=Marc%20Mignolet%20Arizona%20State%20University" TargetMode="External" Id="rId175"/><Relationship Type="http://schemas.openxmlformats.org/officeDocument/2006/relationships/hyperlink" Target="https://faculty.engineering.asu.edu/directory/semte/aerospace-and-mechanical-engineering/" TargetMode="External" Id="rId176"/><Relationship Type="http://schemas.openxmlformats.org/officeDocument/2006/relationships/hyperlink" Target="mailto:phelan@asu.edu" TargetMode="External" Id="rId177"/><Relationship Type="http://schemas.openxmlformats.org/officeDocument/2006/relationships/hyperlink" Target="https://search.asu.edu/profile/pphelan" TargetMode="External" Id="rId178"/><Relationship Type="http://schemas.openxmlformats.org/officeDocument/2006/relationships/hyperlink" Target="https://scholar.google.com/citations?view_op=search_authors&amp;mauthors=Patrick%20Phelan%20Arizona%20State%20University"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mailto:pperalta@asu.edu" TargetMode="External" Id="rId181"/><Relationship Type="http://schemas.openxmlformats.org/officeDocument/2006/relationships/hyperlink" Target="https://search.asu.edu/profile/pperalta" TargetMode="External" Id="rId182"/><Relationship Type="http://schemas.openxmlformats.org/officeDocument/2006/relationships/hyperlink" Target="https://scholar.google.com/citations?view_op=search_authors&amp;mauthors=Pedro%20Peralta%20Arizona%20State%20University" TargetMode="External" Id="rId183"/><Relationship Type="http://schemas.openxmlformats.org/officeDocument/2006/relationships/hyperlink" Target="https://faculty.engineering.asu.edu/directory/semte/aerospace-and-mechanical-engineering/" TargetMode="External" Id="rId184"/><Relationship Type="http://schemas.openxmlformats.org/officeDocument/2006/relationships/hyperlink" Target="mailto:Qiong.Nian@asu.edu" TargetMode="External" Id="rId185"/><Relationship Type="http://schemas.openxmlformats.org/officeDocument/2006/relationships/hyperlink" Target="https://search.asu.edu/profile/qnian" TargetMode="External" Id="rId186"/><Relationship Type="http://schemas.openxmlformats.org/officeDocument/2006/relationships/hyperlink" Target="https://scholar.google.com/citations?view_op=search_authors&amp;mauthors=Qiong%20Nian%20Arizona%20State%20University" TargetMode="External" Id="rId187"/><Relationship Type="http://schemas.openxmlformats.org/officeDocument/2006/relationships/hyperlink" Target="https://faculty.engineering.asu.edu/directory/semte/aerospace-and-mechanical-engineering/" TargetMode="External" Id="rId188"/><Relationship Type="http://schemas.openxmlformats.org/officeDocument/2006/relationships/hyperlink" Target="mailto:Ricardo.Cruz.Lozano@asu.edu" TargetMode="External" Id="rId189"/><Relationship Type="http://schemas.openxmlformats.org/officeDocument/2006/relationships/hyperlink" Target="https://search.asu.edu/profile/rcruzloz" TargetMode="External" Id="rId190"/><Relationship Type="http://schemas.openxmlformats.org/officeDocument/2006/relationships/hyperlink" Target="https://scholar.google.com/citations?view_op=search_authors&amp;mauthors=Ricardo%20Cruz%20Lozano%20Arizona%20State%20University"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mailto:seetharaman@asu.edu" TargetMode="External" Id="rId193"/><Relationship Type="http://schemas.openxmlformats.org/officeDocument/2006/relationships/hyperlink" Target="https://search.asu.edu/profile/sseeth11" TargetMode="External" Id="rId194"/><Relationship Type="http://schemas.openxmlformats.org/officeDocument/2006/relationships/hyperlink" Target="https://scholar.google.com/citations?view_op=search_authors&amp;mauthors=Sridhar%20Seetharaman%20Arizona%20State%20University"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mailto:Srinivas.Kosaraju@asu.edu" TargetMode="External" Id="rId197"/><Relationship Type="http://schemas.openxmlformats.org/officeDocument/2006/relationships/hyperlink" Target="https://search.asu.edu/profile/skosara2" TargetMode="External" Id="rId198"/><Relationship Type="http://schemas.openxmlformats.org/officeDocument/2006/relationships/hyperlink" Target="https://scholar.google.com/citations?view_op=search_authors&amp;mauthors=Srinivas%20Chakravarthi%20Kosaraju%20Arizona%20State%20University"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mailto:wjin@asu.edu" TargetMode="External" Id="rId201"/><Relationship Type="http://schemas.openxmlformats.org/officeDocument/2006/relationships/hyperlink" Target="https://search.asu.edu/profile/wjin34" TargetMode="External" Id="rId202"/><Relationship Type="http://schemas.openxmlformats.org/officeDocument/2006/relationships/hyperlink" Target="https://scholar.google.com/citations?hl=en&amp;user=SoEC4h4AAAAJ"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mailto:Wonmo.Kang@asu.edu" TargetMode="External" Id="rId205"/><Relationship Type="http://schemas.openxmlformats.org/officeDocument/2006/relationships/hyperlink" Target="https://search.asu.edu/profile/wkang16" TargetMode="External" Id="rId206"/><Relationship Type="http://schemas.openxmlformats.org/officeDocument/2006/relationships/hyperlink" Target="https://scholar.google.com/citations?hl=en&amp;user=bHyyOTAAAAAJ"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mailto:xzhe1@asu.edu" TargetMode="External" Id="rId209"/><Relationship Type="http://schemas.openxmlformats.org/officeDocument/2006/relationships/hyperlink" Target="https://search.asu.edu/profile/xzhe1" TargetMode="External" Id="rId210"/><Relationship Type="http://schemas.openxmlformats.org/officeDocument/2006/relationships/hyperlink" Target="https://scholar.google.com/citations?view_op=search_authors&amp;mauthors=Zhe%20Xu%20Arizona%20State%20University" TargetMode="External" Id="rId211"/><Relationship Type="http://schemas.openxmlformats.org/officeDocument/2006/relationships/hyperlink" Target="https://faculty.engineering.asu.edu/directory/semte/aerospace-and-mechanical-engineering/" TargetMode="External" Id="rId212"/></Relationships>
</file>

<file path=xl/worksheets/sheet1.xml><?xml version="1.0" encoding="utf-8"?>
<worksheet xmlns="http://schemas.openxmlformats.org/spreadsheetml/2006/main">
  <sheetPr>
    <outlinePr summaryBelow="1" summaryRight="1"/>
    <pageSetUpPr/>
  </sheetPr>
  <dimension ref="A1:O31"/>
  <sheetViews>
    <sheetView showGridLines="1" workbookViewId="0">
      <selection activeCell="A1" sqref="A1"/>
    </sheetView>
  </sheetViews>
  <sheetFormatPr baseColWidth="8" defaultRowHeight="15"/>
  <cols>
    <col width="28" customWidth="1" min="1" max="1"/>
    <col width="32"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18" customWidth="1" min="11" max="11"/>
    <col width="16" customWidth="1" min="12" max="12"/>
    <col width="49" customWidth="1" min="13" max="13"/>
    <col width="32" customWidth="1" min="14" max="14"/>
    <col width="49" customWidth="1" min="15" max="15"/>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Is Field Match</t>
        </is>
      </c>
      <c r="L1" s="1" t="inlineStr">
        <is>
          <t>Scholar ID</t>
        </is>
      </c>
      <c r="M1" s="1" t="inlineStr">
        <is>
          <t>Profile URL</t>
        </is>
      </c>
      <c r="N1" s="1" t="inlineStr">
        <is>
          <t>Google Scholar URL</t>
        </is>
      </c>
      <c r="O1" s="1" t="inlineStr">
        <is>
          <t>Directory URL</t>
        </is>
      </c>
    </row>
    <row r="2">
      <c r="A2" s="2" t="inlineStr">
        <is>
          <t>Jeonglae Kim</t>
        </is>
      </c>
      <c r="B2" s="2" t="inlineStr">
        <is>
          <t>Assistant Professor</t>
        </is>
      </c>
      <c r="C2" s="2" t="inlineStr">
        <is>
          <t>Aerospace &amp; Mechanical Engineering</t>
        </is>
      </c>
      <c r="D2" s="2" t="inlineStr">
        <is>
          <t>Arizona State University</t>
        </is>
      </c>
      <c r="E2" s="3">
        <f>HYPERLINK("mailto:jeokim@asu.edu", "jeokim@asu.edu")</f>
        <v/>
      </c>
      <c r="F2" s="2" t="n">
        <v>6</v>
      </c>
      <c r="G2" s="2" t="inlineStr">
        <is>
          <t>aeroacoustics, flow control, high-performance computing, optimization, turbulence, turbulent flows</t>
        </is>
      </c>
      <c r="H2" s="2" t="inlineStr"/>
      <c r="I2" s="2" t="inlineStr"/>
      <c r="J2" s="2" t="inlineStr">
        <is>
          <t>Kim's research interests include large-eddy simulation of high-speed turbulent flows with multi-physics, aeroacoustics, flow control and optimization.</t>
        </is>
      </c>
      <c r="K2" s="2" t="b">
        <v>1</v>
      </c>
      <c r="L2" s="2" t="inlineStr"/>
      <c r="M2" s="3">
        <f>HYPERLINK("https://search.asu.edu/profile/jkim520", "https://search.asu.edu/profile/jkim520")</f>
        <v/>
      </c>
      <c r="N2" s="3">
        <f>HYPERLINK("https://scholar.google.com/citations?view_op=search_authors&amp;mauthors=Jeonglae%20Kim%20Arizona%20State%20University", "Google Scholar Search")</f>
        <v/>
      </c>
      <c r="O2" s="3">
        <f>HYPERLINK("https://faculty.engineering.asu.edu/directory/semte/aerospace-and-mechanical-engineering/", "https://faculty.engineering.asu.edu/directory/semte/aerospace-and-mechanical-engineering/")</f>
        <v/>
      </c>
    </row>
    <row r="3">
      <c r="A3" s="2" t="inlineStr">
        <is>
          <t>Werner Dahm</t>
        </is>
      </c>
      <c r="B3" s="2" t="inlineStr">
        <is>
          <t>SUM/WTR Faculty Research</t>
        </is>
      </c>
      <c r="C3" s="2" t="inlineStr">
        <is>
          <t>Aerospace &amp; Mechanical Engineering</t>
        </is>
      </c>
      <c r="D3" s="2" t="inlineStr">
        <is>
          <t>Arizona State University</t>
        </is>
      </c>
      <c r="E3" s="3">
        <f>HYPERLINK("mailto:Werner.Dahm@asu.edu", "Werner.Dahm@asu.edu")</f>
        <v/>
      </c>
      <c r="F3" s="2" t="n">
        <v>6</v>
      </c>
      <c r="G3" s="2" t="inlineStr">
        <is>
          <t>combustion, computational physics, fluid dynamics, heat transfer, propulsion, turbulence</t>
        </is>
      </c>
      <c r="H3" s="2" t="inlineStr">
        <is>
          <t>Dr. Dahm specializes in fluid dynamics, thermodynamics, combustion, heat transfer, thermal sciences, propulsion, fuel efficiency, emissions, powertrains, and other areas relevant to a broad range of automotive, aerospace, and industrial applications. He is an author of over 200 refereed technical articles, conference papers, and technical publications, a holder of six U.S. and international patents, and has given over 260 technical presentations, including over 190 invited, plenary, and keynote lectures worldwide, on topics dealing with mechanical and aerospace engineering and defense science.</t>
        </is>
      </c>
      <c r="I3" s="2" t="inlineStr">
        <is>
          <t>Aerospace Engineering, Applied Research, Computational Modeling, Computational Physics, Mechanical Engineering, Propulsion</t>
        </is>
      </c>
      <c r="J3" s="2" t="inlineStr">
        <is>
          <t>Werner J.A. Dahm has since 2010 been the ASU Foundation Professor of Mechanical and Aerospace Engineering, and also Professor Emeritus of Engineering at the University of Michigan where served for the previous 25 years.</t>
        </is>
      </c>
      <c r="K3" s="2" t="b">
        <v>1</v>
      </c>
      <c r="L3" s="2" t="inlineStr"/>
      <c r="M3" s="3">
        <f>HYPERLINK("https://search.asu.edu/profile/wdahm", "https://search.asu.edu/profile/wdahm")</f>
        <v/>
      </c>
      <c r="N3" s="3">
        <f>HYPERLINK("https://scholar.google.com/citations?view_op=search_authors&amp;mauthors=Werner%20Dahm%20Arizona%20State%20University", "Google Scholar Search")</f>
        <v/>
      </c>
      <c r="O3" s="3">
        <f>HYPERLINK("https://faculty.engineering.asu.edu/directory/semte/aerospace-and-mechanical-engineering/", "https://faculty.engineering.asu.edu/directory/semte/aerospace-and-mechanical-engineering/")</f>
        <v/>
      </c>
    </row>
    <row r="4">
      <c r="A4" s="2" t="inlineStr">
        <is>
          <t>Kangping Chen</t>
        </is>
      </c>
      <c r="B4" s="2" t="inlineStr">
        <is>
          <t>Associate Professor</t>
        </is>
      </c>
      <c r="C4" s="2" t="inlineStr">
        <is>
          <t>Aerospace &amp; Mechanical Engineering</t>
        </is>
      </c>
      <c r="D4" s="2" t="inlineStr">
        <is>
          <t>Arizona State University</t>
        </is>
      </c>
      <c r="E4" s="3">
        <f>HYPERLINK("mailto:k.p.chen@asu.edu", "k.p.chen@asu.edu")</f>
        <v/>
      </c>
      <c r="F4" s="2" t="n">
        <v>5</v>
      </c>
      <c r="G4" s="2" t="inlineStr">
        <is>
          <t>computational fluid dynamics, drag reduction, fluid dynamics, fluid mechanics, multiphase flow</t>
        </is>
      </c>
      <c r="H4" s="2" t="inlineStr"/>
      <c r="I4" s="2" t="inlineStr"/>
      <c r="J4" s="2" t="inlineStr">
        <is>
          <t>Chen’s research interests include multiphase flows, drag reduction, airplane de-icing, interfacial instabilities and flow in porous media.</t>
        </is>
      </c>
      <c r="K4" s="2" t="b">
        <v>1</v>
      </c>
      <c r="L4" s="2" t="inlineStr">
        <is>
          <t>xT-lX9sAAAAJ</t>
        </is>
      </c>
      <c r="M4" s="3">
        <f>HYPERLINK("https://search.asu.edu/profile/asuchen", "https://search.asu.edu/profile/asuchen")</f>
        <v/>
      </c>
      <c r="N4" s="3">
        <f>HYPERLINK("https://scholar.google.com/citations?hl=en&amp;user=xT-lX9sAAAAJ", "Scholar (xT-lX9sAAAAJ)")</f>
        <v/>
      </c>
      <c r="O4" s="3">
        <f>HYPERLINK("https://faculty.engineering.asu.edu/directory/semte/aerospace-and-mechanical-engineering/", "https://faculty.engineering.asu.edu/directory/semte/aerospace-and-mechanical-engineering/")</f>
        <v/>
      </c>
    </row>
    <row r="5">
      <c r="A5" s="2" t="inlineStr">
        <is>
          <t>Kiran Ramesh</t>
        </is>
      </c>
      <c r="B5" s="2" t="inlineStr">
        <is>
          <t>Associate Professor</t>
        </is>
      </c>
      <c r="C5" s="2" t="inlineStr">
        <is>
          <t>Aerospace &amp; Mechanical Engineering</t>
        </is>
      </c>
      <c r="D5" s="2" t="inlineStr">
        <is>
          <t>Arizona State University</t>
        </is>
      </c>
      <c r="E5" s="3">
        <f>HYPERLINK("mailto:Kiran.Ramesh@asu.edu", "Kiran.Ramesh@asu.edu")</f>
        <v/>
      </c>
      <c r="F5" s="2" t="n">
        <v>5</v>
      </c>
      <c r="G5" s="2" t="inlineStr">
        <is>
          <t>aerodynamics, flow control, fluid dynamics, turbulence, vortex dynamics</t>
        </is>
      </c>
      <c r="H5" s="2" t="inlineStr">
        <is>
          <t>Unsteady aerodynamics, vortex dynamics, flow control, turbulence, separated flows</t>
        </is>
      </c>
      <c r="I5" s="2" t="inlineStr"/>
      <c r="J5" s="2" t="inlineStr">
        <is>
          <t>Ramesh's expertise is in unsteady fluid dynamics, vortex dynamics, turbulence and flow control.</t>
        </is>
      </c>
      <c r="K5" s="2" t="b">
        <v>1</v>
      </c>
      <c r="L5" s="2" t="inlineStr">
        <is>
          <t>DKc-AgcAAAAJ</t>
        </is>
      </c>
      <c r="M5" s="3">
        <f>HYPERLINK("https://search.asu.edu/profile/kramesh2", "https://search.asu.edu/profile/kramesh2")</f>
        <v/>
      </c>
      <c r="N5" s="3">
        <f>HYPERLINK("https://scholar.google.com/citations?hl=en&amp;user=DKc-AgcAAAAJ", "Scholar (DKc-AgcAAAAJ)")</f>
        <v/>
      </c>
      <c r="O5" s="3">
        <f>HYPERLINK("https://faculty.engineering.asu.edu/directory/semte/aerospace-and-mechanical-engineering/", "https://faculty.engineering.asu.edu/directory/semte/aerospace-and-mechanical-engineering/")</f>
        <v/>
      </c>
    </row>
    <row r="6">
      <c r="A6" s="2" t="inlineStr">
        <is>
          <t>Mohamed Houssem Kasbaoui</t>
        </is>
      </c>
      <c r="B6" s="2" t="inlineStr">
        <is>
          <t>Associate Professor</t>
        </is>
      </c>
      <c r="C6" s="2" t="inlineStr">
        <is>
          <t>Aerospace &amp; Mechanical Engineering</t>
        </is>
      </c>
      <c r="D6" s="2" t="inlineStr">
        <is>
          <t>Arizona State University</t>
        </is>
      </c>
      <c r="E6" s="3">
        <f>HYPERLINK("mailto:houssem.kasbaoui@asu.edu", "houssem.kasbaoui@asu.edu")</f>
        <v/>
      </c>
      <c r="F6" s="2" t="n">
        <v>5</v>
      </c>
      <c r="G6" s="2" t="inlineStr">
        <is>
          <t>cfd, computational fluid dynamics, dns, fluid dynamics, multiphase flow</t>
        </is>
      </c>
      <c r="H6" s="2" t="inlineStr"/>
      <c r="I6" s="2" t="inlineStr"/>
      <c r="J6" s="2" t="inlineStr">
        <is>
          <t>Kasbaoui's research interests include computational fluid dynamics, numerical methods, and massively parallel simulations of multiphase and particle-laden flows for environmental and aerospace applications.</t>
        </is>
      </c>
      <c r="K6" s="2" t="b">
        <v>1</v>
      </c>
      <c r="L6" s="2" t="inlineStr"/>
      <c r="M6" s="3">
        <f>HYPERLINK("https://search.asu.edu/profile/mkasbaou", "https://search.asu.edu/profile/mkasbaou")</f>
        <v/>
      </c>
      <c r="N6" s="3">
        <f>HYPERLINK("https://scholar.google.com/citations?view_op=search_authors&amp;mauthors=Mohamed%20Houssem%20Kasbaoui%20Arizona%20State%20University", "Google Scholar Search")</f>
        <v/>
      </c>
      <c r="O6" s="3">
        <f>HYPERLINK("https://faculty.engineering.asu.edu/directory/semte/aerospace-and-mechanical-engineering/", "https://faculty.engineering.asu.edu/directory/semte/aerospace-and-mechanical-engineering/")</f>
        <v/>
      </c>
    </row>
    <row r="7">
      <c r="A7" s="2" t="inlineStr">
        <is>
          <t>Aditi Chattopadhyay</t>
        </is>
      </c>
      <c r="B7" s="2" t="inlineStr">
        <is>
          <t>Regents Professor</t>
        </is>
      </c>
      <c r="C7" s="2" t="inlineStr">
        <is>
          <t>Aerospace &amp; Mechanical Engineering</t>
        </is>
      </c>
      <c r="D7" s="2" t="inlineStr">
        <is>
          <t>Arizona State University</t>
        </is>
      </c>
      <c r="E7" s="3">
        <f>HYPERLINK("mailto:aditi@asu.edu", "aditi@asu.edu")</f>
        <v/>
      </c>
      <c r="F7" s="2" t="n">
        <v>4</v>
      </c>
      <c r="G7" s="2" t="inlineStr">
        <is>
          <t>inverse problems, multiscale modeling, optimization, transition</t>
        </is>
      </c>
      <c r="H7" s="2" t="inlineStr"/>
      <c r="I7" s="2" t="inlineStr"/>
      <c r="J7" s="2" t="inlineStr">
        <is>
          <t>Chattopadhyay is the director of Adaptive Intelligent Materials and Systems (AIMS) Center at ASU. Her research focuses on structural health monitoring and damage prognosis, and multidisciplinary design optimization.</t>
        </is>
      </c>
      <c r="K7" s="2" t="b">
        <v>1</v>
      </c>
      <c r="L7" s="2" t="inlineStr">
        <is>
          <t>w3fU9E0AAAAJ</t>
        </is>
      </c>
      <c r="M7" s="3">
        <f>HYPERLINK("https://search.asu.edu/profile/chattopa", "https://search.asu.edu/profile/chattopa")</f>
        <v/>
      </c>
      <c r="N7" s="3">
        <f>HYPERLINK("https://scholar.google.com/citations?hl=en&amp;user=w3fU9E0AAAAJ", "Scholar (w3fU9E0AAAAJ)")</f>
        <v/>
      </c>
      <c r="O7" s="3">
        <f>HYPERLINK("https://faculty.engineering.asu.edu/directory/semte/aerospace-and-mechanical-engineering/", "https://faculty.engineering.asu.edu/directory/semte/aerospace-and-mechanical-engineering/")</f>
        <v/>
      </c>
    </row>
    <row r="8">
      <c r="A8" s="2" t="inlineStr">
        <is>
          <t>Gokul Pathikonda</t>
        </is>
      </c>
      <c r="B8" s="2" t="inlineStr">
        <is>
          <t>Assistant Professor</t>
        </is>
      </c>
      <c r="C8" s="2" t="inlineStr">
        <is>
          <t>Aerospace &amp; Mechanical Engineering</t>
        </is>
      </c>
      <c r="D8" s="2" t="inlineStr">
        <is>
          <t>Arizona State University</t>
        </is>
      </c>
      <c r="E8" s="3">
        <f>HYPERLINK("mailto:Gokul.Pathikonda@asu.edu", "Gokul.Pathikonda@asu.edu")</f>
        <v/>
      </c>
      <c r="F8" s="2" t="n">
        <v>4</v>
      </c>
      <c r="G8" s="2" t="inlineStr">
        <is>
          <t>aerodynamics, reacting flows, turbulence, turbulent mixing</t>
        </is>
      </c>
      <c r="H8" s="2" t="inlineStr">
        <is>
          <t>Aerodynamics, Aerospace Engineering, Mechanical Engineering</t>
        </is>
      </c>
      <c r="I8" s="2" t="inlineStr">
        <is>
          <t>Aerodynamics, Aerospace Engineering, Mechanical Engineering</t>
        </is>
      </c>
      <c r="J8" s="2" t="inlineStr">
        <is>
          <t>Dr. Pathikonda studies turbulent fluid flows to understand natural and engineering phenomena using lab experiments. His expertise is in complex (reacting) mixing, high Re-flows, laser-based &amp; spectroscopic techniques, etc.</t>
        </is>
      </c>
      <c r="K8" s="2" t="b">
        <v>1</v>
      </c>
      <c r="L8" s="2" t="inlineStr"/>
      <c r="M8" s="3">
        <f>HYPERLINK("https://search.asu.edu/profile/gpathiko", "https://search.asu.edu/profile/gpathiko")</f>
        <v/>
      </c>
      <c r="N8" s="3">
        <f>HYPERLINK("https://scholar.google.com/citations?view_op=search_authors&amp;mauthors=Gokul%20Pathikonda%20Arizona%20State%20University", "Google Scholar Search")</f>
        <v/>
      </c>
      <c r="O8" s="3">
        <f>HYPERLINK("https://faculty.engineering.asu.edu/directory/semte/aerospace-and-mechanical-engineering/", "https://faculty.engineering.asu.edu/directory/semte/aerospace-and-mechanical-engineering/")</f>
        <v/>
      </c>
    </row>
    <row r="9">
      <c r="A9" s="2" t="inlineStr">
        <is>
          <t>Marcus Herrmann</t>
        </is>
      </c>
      <c r="B9" s="2" t="inlineStr">
        <is>
          <t>Professor</t>
        </is>
      </c>
      <c r="C9" s="2" t="inlineStr">
        <is>
          <t>Aerospace &amp; Mechanical Engineering</t>
        </is>
      </c>
      <c r="D9" s="2" t="inlineStr">
        <is>
          <t>Arizona State University</t>
        </is>
      </c>
      <c r="E9" s="3">
        <f>HYPERLINK("mailto:Marcus.Herrmann@asu.edu", "Marcus.Herrmann@asu.edu")</f>
        <v/>
      </c>
      <c r="F9" s="2" t="n">
        <v>4</v>
      </c>
      <c r="G9" s="2" t="inlineStr">
        <is>
          <t>fluid mechanics, multiphase flow, numerical simulation, turbulence</t>
        </is>
      </c>
      <c r="H9" s="2" t="inlineStr"/>
      <c r="I9" s="2" t="inlineStr"/>
      <c r="J9" s="2" t="inlineStr">
        <is>
          <t>Herrmann's research interests include fluid mechanics, modeling and numerical simulation of multiphase flows with a focus on turbulent atomization processes, and numerical methods for discontinuous interfaces.</t>
        </is>
      </c>
      <c r="K9" s="2" t="b">
        <v>1</v>
      </c>
      <c r="L9" s="2" t="inlineStr">
        <is>
          <t>yv6aCW8AAAAJ</t>
        </is>
      </c>
      <c r="M9" s="3">
        <f>HYPERLINK("https://search.asu.edu/profile/mherrma1", "https://search.asu.edu/profile/mherrma1")</f>
        <v/>
      </c>
      <c r="N9" s="3">
        <f>HYPERLINK("https://scholar.google.com/citations?hl=en&amp;user=yv6aCW8AAAAJ", "Scholar (yv6aCW8AAAAJ)")</f>
        <v/>
      </c>
      <c r="O9" s="3">
        <f>HYPERLINK("https://faculty.engineering.asu.edu/directory/semte/aerospace-and-mechanical-engineering/", "https://faculty.engineering.asu.edu/directory/semte/aerospace-and-mechanical-engineering/")</f>
        <v/>
      </c>
    </row>
    <row r="10">
      <c r="A10" s="2" t="inlineStr">
        <is>
          <t>Alberto Scotti</t>
        </is>
      </c>
      <c r="B10" s="2" t="inlineStr">
        <is>
          <t>Professor</t>
        </is>
      </c>
      <c r="C10" s="2" t="inlineStr">
        <is>
          <t>Aerospace &amp; Mechanical Engineering</t>
        </is>
      </c>
      <c r="D10" s="2" t="inlineStr">
        <is>
          <t>Arizona State University</t>
        </is>
      </c>
      <c r="E10" s="3">
        <f>HYPERLINK("mailto:Alberto.Scotti@asu.edu", "Alberto.Scotti@asu.edu")</f>
        <v/>
      </c>
      <c r="F10" s="2" t="n">
        <v>3</v>
      </c>
      <c r="G10" s="2" t="inlineStr">
        <is>
          <t>applied mathematics, fluid mechanics, turbulent mixing</t>
        </is>
      </c>
      <c r="H10" s="2" t="inlineStr">
        <is>
          <t>Modeling and Simulation, Oceanography, Earth Systems and Climate Science, Modeling, Modeling, Simulation and Cyberinfrastructure, Applied Mathematics</t>
        </is>
      </c>
      <c r="I10" s="2" t="inlineStr">
        <is>
          <t>Modeling and Simulation, Oceanography, Earth Systems and Climate Science, Modeling, Modeling, Simulation and Cyberinfrastructure, Applied Mathematics</t>
        </is>
      </c>
      <c r="J10" s="2" t="inlineStr">
        <is>
          <t>Scotti's main focus is theoretical, experimental and computational aspects of environmental fluid mechanics.</t>
        </is>
      </c>
      <c r="K10" s="2" t="b">
        <v>1</v>
      </c>
      <c r="L10" s="2" t="inlineStr">
        <is>
          <t>HRx2lJQAAAAJ</t>
        </is>
      </c>
      <c r="M10" s="3">
        <f>HYPERLINK("https://search.asu.edu/profile/adscotti", "https://search.asu.edu/profile/adscotti")</f>
        <v/>
      </c>
      <c r="N10" s="3">
        <f>HYPERLINK("https://scholar.google.com/citations?hl=en&amp;user=HRx2lJQAAAAJ", "Scholar (HRx2lJQAAAAJ)")</f>
        <v/>
      </c>
      <c r="O10" s="3">
        <f>HYPERLINK("https://faculty.engineering.asu.edu/directory/semte/aerospace-and-mechanical-engineering/", "https://faculty.engineering.asu.edu/directory/semte/aerospace-and-mechanical-engineering/")</f>
        <v/>
      </c>
    </row>
    <row r="11">
      <c r="A11" s="2" t="inlineStr">
        <is>
          <t>Beomjin Kwon</t>
        </is>
      </c>
      <c r="B11" s="2" t="inlineStr">
        <is>
          <t>Associate Professor</t>
        </is>
      </c>
      <c r="C11" s="2" t="inlineStr">
        <is>
          <t>Aerospace &amp; Mechanical Engineering</t>
        </is>
      </c>
      <c r="D11" s="2" t="inlineStr">
        <is>
          <t>Arizona State University</t>
        </is>
      </c>
      <c r="E11" s="3">
        <f>HYPERLINK("mailto:kwon@asu.edu", "kwon@asu.edu")</f>
        <v/>
      </c>
      <c r="F11" s="2" t="n">
        <v>3</v>
      </c>
      <c r="G11" s="2" t="inlineStr">
        <is>
          <t>data-driven modeling, heat transfer, transport phenomena</t>
        </is>
      </c>
      <c r="H11" s="2" t="inlineStr">
        <is>
          <t>Transport phenomena in heat transfer systems Additive manufacturing Data-driven modeling and design</t>
        </is>
      </c>
      <c r="I11" s="2" t="inlineStr"/>
      <c r="J11" s="2" t="inlineStr">
        <is>
          <t>Kwon aims to improve the energy conversion and transport systems through the fundamental insights into transport physics, and by exploiting additive manufacturing and data-driven approaches.</t>
        </is>
      </c>
      <c r="K11" s="2" t="b">
        <v>1</v>
      </c>
      <c r="L11" s="2" t="inlineStr">
        <is>
          <t>fs2d97sAAAAJ</t>
        </is>
      </c>
      <c r="M11" s="3">
        <f>HYPERLINK("https://search.asu.edu/profile/bkwon2", "https://search.asu.edu/profile/bkwon2")</f>
        <v/>
      </c>
      <c r="N11" s="3">
        <f>HYPERLINK("https://scholar.google.com/citations?hl=en&amp;user=fs2d97sAAAAJ", "Scholar (fs2d97sAAAAJ)")</f>
        <v/>
      </c>
      <c r="O11" s="3">
        <f>HYPERLINK("https://faculty.engineering.asu.edu/directory/semte/aerospace-and-mechanical-engineering/", "https://faculty.engineering.asu.edu/directory/semte/aerospace-and-mechanical-engineering/")</f>
        <v/>
      </c>
    </row>
    <row r="12">
      <c r="A12" s="2" t="inlineStr">
        <is>
          <t>Leixin Ma</t>
        </is>
      </c>
      <c r="B12" s="2" t="inlineStr">
        <is>
          <t>Assistant Professor</t>
        </is>
      </c>
      <c r="C12" s="2" t="inlineStr">
        <is>
          <t>Aerospace &amp; Mechanical Engineering</t>
        </is>
      </c>
      <c r="D12" s="2" t="inlineStr">
        <is>
          <t>Arizona State University</t>
        </is>
      </c>
      <c r="E12" s="3">
        <f>HYPERLINK("mailto:Leixin.Ma@asu.edu", "Leixin.Ma@asu.edu")</f>
        <v/>
      </c>
      <c r="F12" s="2" t="n">
        <v>3</v>
      </c>
      <c r="G12" s="2" t="inlineStr">
        <is>
          <t>aerodynamics, fluid-structure interaction, physics-informed machine learning</t>
        </is>
      </c>
      <c r="H12" s="2" t="inlineStr">
        <is>
          <t>Aerodynamics, Dynamical Systems, Machine Learning, Mechanics of Composite Materials</t>
        </is>
      </c>
      <c r="I12" s="2" t="inlineStr">
        <is>
          <t>Aerodynamics, Dynamical Systems, Machine Learning, Mechanics of Composite Materials</t>
        </is>
      </c>
      <c r="J12" s="2" t="inlineStr">
        <is>
          <t>Leixin Ma's career goal is a data-driven and physically consistent approach to modeling and designing programmable smart structures and robots, especially under complex fluid flow conditions.</t>
        </is>
      </c>
      <c r="K12" s="2" t="b">
        <v>1</v>
      </c>
      <c r="L12" s="2" t="inlineStr">
        <is>
          <t>2xQTOc0AAAAJ</t>
        </is>
      </c>
      <c r="M12" s="3">
        <f>HYPERLINK("https://search.asu.edu/profile/leixinma", "https://search.asu.edu/profile/leixinma")</f>
        <v/>
      </c>
      <c r="N12" s="3">
        <f>HYPERLINK("https://scholar.google.com/citations?hl=en&amp;user=2xQTOc0AAAAJ", "Scholar (2xQTOc0AAAAJ)")</f>
        <v/>
      </c>
      <c r="O12" s="3">
        <f>HYPERLINK("https://faculty.engineering.asu.edu/directory/semte/aerospace-and-mechanical-engineering/", "https://faculty.engineering.asu.edu/directory/semte/aerospace-and-mechanical-engineering/")</f>
        <v/>
      </c>
    </row>
    <row r="13">
      <c r="A13" s="2" t="inlineStr">
        <is>
          <t>Yulia Peet</t>
        </is>
      </c>
      <c r="B13" s="2" t="inlineStr">
        <is>
          <t>Professor</t>
        </is>
      </c>
      <c r="C13" s="2" t="inlineStr">
        <is>
          <t>Aerospace &amp; Mechanical Engineering</t>
        </is>
      </c>
      <c r="D13" s="2" t="inlineStr">
        <is>
          <t>Arizona State University</t>
        </is>
      </c>
      <c r="E13" s="3">
        <f>HYPERLINK("mailto:ypeet@asu.edu", "ypeet@asu.edu")</f>
        <v/>
      </c>
      <c r="F13" s="2" t="n">
        <v>3</v>
      </c>
      <c r="G13" s="2" t="inlineStr">
        <is>
          <t>fluid mechanics, high-performance computing, turbulence</t>
        </is>
      </c>
      <c r="H13" s="2" t="inlineStr"/>
      <c r="I13" s="2" t="inlineStr"/>
      <c r="J13"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13" s="2" t="b">
        <v>1</v>
      </c>
      <c r="L13" s="2" t="inlineStr">
        <is>
          <t>_6o8MrUAAAAJ</t>
        </is>
      </c>
      <c r="M13" s="3">
        <f>HYPERLINK("https://search.asu.edu/profile/ypeet", "https://search.asu.edu/profile/ypeet")</f>
        <v/>
      </c>
      <c r="N13" s="3">
        <f>HYPERLINK("https://scholar.google.com/citations?hl=en&amp;user=_6o8MrUAAAAJ", "Scholar (_6o8MrUAAAAJ)")</f>
        <v/>
      </c>
      <c r="O13" s="3">
        <f>HYPERLINK("https://faculty.engineering.asu.edu/directory/semte/aerospace-and-mechanical-engineering/", "https://faculty.engineering.asu.edu/directory/semte/aerospace-and-mechanical-engineering/")</f>
        <v/>
      </c>
    </row>
    <row r="14">
      <c r="A14" s="2" t="inlineStr">
        <is>
          <t>Huei-Ping Huang</t>
        </is>
      </c>
      <c r="B14" s="2" t="inlineStr">
        <is>
          <t>Associate Professor</t>
        </is>
      </c>
      <c r="C14" s="2" t="inlineStr">
        <is>
          <t>Aerospace &amp; Mechanical Engineering</t>
        </is>
      </c>
      <c r="D14" s="2" t="inlineStr">
        <is>
          <t>Arizona State University</t>
        </is>
      </c>
      <c r="E14" s="3">
        <f>HYPERLINK("mailto:Huei-Ping.Huang@asu.edu", "Huei-Ping.Huang@asu.edu")</f>
        <v/>
      </c>
      <c r="F14" s="2" t="n">
        <v>2</v>
      </c>
      <c r="G14" s="2" t="inlineStr">
        <is>
          <t>fluid dynamics, numerical simulation</t>
        </is>
      </c>
      <c r="H14" s="2" t="inlineStr"/>
      <c r="I14" s="2" t="inlineStr"/>
      <c r="J14" s="2" t="inlineStr">
        <is>
          <t>Huang's research interests are geophysical and environmental fluid dynamics, numerical simulation of atmospheric and oceanic flows, Earth system remote sensing, and climate change.</t>
        </is>
      </c>
      <c r="K14" s="2" t="b">
        <v>1</v>
      </c>
      <c r="L14" s="2" t="inlineStr"/>
      <c r="M14" s="3">
        <f>HYPERLINK("https://search.asu.edu/profile/hhuang38", "https://search.asu.edu/profile/hhuang38")</f>
        <v/>
      </c>
      <c r="N14" s="3">
        <f>HYPERLINK("https://scholar.google.com/citations?view_op=search_authors&amp;mauthors=Huei-Ping%20Huang%20Arizona%20State%20University", "Google Scholar Search")</f>
        <v/>
      </c>
      <c r="O14" s="3">
        <f>HYPERLINK("https://faculty.engineering.asu.edu/directory/semte/aerospace-and-mechanical-engineering/", "https://faculty.engineering.asu.edu/directory/semte/aerospace-and-mechanical-engineering/")</f>
        <v/>
      </c>
    </row>
    <row r="15">
      <c r="A15" s="2" t="inlineStr">
        <is>
          <t>Raghavendra Murthy</t>
        </is>
      </c>
      <c r="B15" s="2" t="inlineStr">
        <is>
          <t>Associate Teaching Professor</t>
        </is>
      </c>
      <c r="C15" s="2" t="inlineStr">
        <is>
          <t>Aerospace &amp; Mechanical Engineering</t>
        </is>
      </c>
      <c r="D15" s="2" t="inlineStr">
        <is>
          <t>Arizona State University</t>
        </is>
      </c>
      <c r="E15" s="3">
        <f>HYPERLINK("mailto:rnmurthy@asu.edu", "rnmurthy@asu.edu")</f>
        <v/>
      </c>
      <c r="F15" s="2" t="n">
        <v>2</v>
      </c>
      <c r="G15" s="2" t="inlineStr">
        <is>
          <t>optimization, reduced-order modeling</t>
        </is>
      </c>
      <c r="H15" s="2" t="inlineStr">
        <is>
          <t>Structural Dynamics, Rotordynamics, Vibration Analysis, Reduced-Order Modeling, Optimization</t>
        </is>
      </c>
      <c r="I15" s="2" t="inlineStr"/>
      <c r="J15" s="2" t="inlineStr"/>
      <c r="K15" s="2" t="b">
        <v>1</v>
      </c>
      <c r="L15" s="2" t="inlineStr"/>
      <c r="M15" s="3">
        <f>HYPERLINK("https://search.asu.edu/profile/rnmurthy", "https://search.asu.edu/profile/rnmurthy")</f>
        <v/>
      </c>
      <c r="N15" s="3">
        <f>HYPERLINK("https://scholar.google.com/citations?view_op=search_authors&amp;mauthors=Raghavendra%20Murthy%20Arizona%20State%20University", "Google Scholar Search")</f>
        <v/>
      </c>
      <c r="O15" s="3">
        <f>HYPERLINK("https://faculty.engineering.asu.edu/directory/semte/aerospace-and-mechanical-engineering/", "https://faculty.engineering.asu.edu/directory/semte/aerospace-and-mechanical-engineering/")</f>
        <v/>
      </c>
    </row>
    <row r="16">
      <c r="A16" s="2" t="inlineStr">
        <is>
          <t>Ryan Milcarek</t>
        </is>
      </c>
      <c r="B16" s="2" t="inlineStr">
        <is>
          <t>Associate Professor</t>
        </is>
      </c>
      <c r="C16" s="2" t="inlineStr">
        <is>
          <t>Aerospace &amp; Mechanical Engineering</t>
        </is>
      </c>
      <c r="D16" s="2" t="inlineStr">
        <is>
          <t>Arizona State University</t>
        </is>
      </c>
      <c r="E16" s="3">
        <f>HYPERLINK("mailto:Ryan.Milcarek@asu.edu", "Ryan.Milcarek@asu.edu")</f>
        <v/>
      </c>
      <c r="F16" s="2" t="n">
        <v>2</v>
      </c>
      <c r="G16" s="2" t="inlineStr">
        <is>
          <t>combustion, transition</t>
        </is>
      </c>
      <c r="H16" s="2" t="inlineStr">
        <is>
          <t>Energy management and efficiency, energy transition, energy storage, solid oxide fuel cells, partial oxidation, cogeneration, combustion, and synthesis of hydrogen</t>
        </is>
      </c>
      <c r="I16" s="2" t="inlineStr">
        <is>
          <t>Ceramics, Electrochemistry, Energy, Energy and Sustainability, Energy Conservation, Energy Economics, Energy Efficiency Technologies, Thin Film Materials</t>
        </is>
      </c>
      <c r="J16" s="2" t="inlineStr">
        <is>
          <t>Milcarek's current research focuses on energy management and efficiency, energy system modeling, energy transition, energy storage, solid oxide fuel cells fabrication and testing, partial oxidation and synthesis of hydrogen.</t>
        </is>
      </c>
      <c r="K16" s="2" t="b">
        <v>1</v>
      </c>
      <c r="L16" s="2" t="inlineStr"/>
      <c r="M16" s="3">
        <f>HYPERLINK("https://search.asu.edu/profile/rjmilcar", "https://search.asu.edu/profile/rjmilcar")</f>
        <v/>
      </c>
      <c r="N16" s="3">
        <f>HYPERLINK("https://scholar.google.com/citations?view_op=search_authors&amp;mauthors=Ryan%20Milcarek%20Arizona%20State%20University", "Google Scholar Search")</f>
        <v/>
      </c>
      <c r="O16" s="3">
        <f>HYPERLINK("https://faculty.engineering.asu.edu/directory/semte/aerospace-and-mechanical-engineering/", "https://faculty.engineering.asu.edu/directory/semte/aerospace-and-mechanical-engineering/")</f>
        <v/>
      </c>
    </row>
    <row r="17">
      <c r="A17" s="2" t="inlineStr">
        <is>
          <t>T.-W. Lee</t>
        </is>
      </c>
      <c r="B17" s="2" t="inlineStr">
        <is>
          <t>Associate Professor</t>
        </is>
      </c>
      <c r="C17" s="2" t="inlineStr">
        <is>
          <t>Aerospace &amp; Mechanical Engineering</t>
        </is>
      </c>
      <c r="D17" s="2" t="inlineStr">
        <is>
          <t>Arizona State University</t>
        </is>
      </c>
      <c r="E17" s="3">
        <f>HYPERLINK("mailto:ATTWL@asu.edu", "ATTWL@asu.edu")</f>
        <v/>
      </c>
      <c r="F17" s="2" t="n">
        <v>2</v>
      </c>
      <c r="G17" s="2" t="inlineStr">
        <is>
          <t>aerospace propulsion, propulsion</t>
        </is>
      </c>
      <c r="H17" s="2" t="inlineStr"/>
      <c r="I17" s="2" t="inlineStr"/>
      <c r="J17" s="2" t="inlineStr">
        <is>
          <t>Lee's areas of expertise include energy system analysis, thermal and fluid process characterization, and fuel property measurements for energy systems.</t>
        </is>
      </c>
      <c r="K17" s="2" t="b">
        <v>1</v>
      </c>
      <c r="L17" s="2" t="inlineStr"/>
      <c r="M17" s="3">
        <f>HYPERLINK("https://search.asu.edu/profile/attwl", "https://search.asu.edu/profile/attwl")</f>
        <v/>
      </c>
      <c r="N17" s="3">
        <f>HYPERLINK("https://scholar.google.com/citations?view_op=search_authors&amp;mauthors=T.-W.%20Lee%20Arizona%20State%20University", "Google Scholar Search")</f>
        <v/>
      </c>
      <c r="O17" s="3">
        <f>HYPERLINK("https://faculty.engineering.asu.edu/directory/semte/aerospace-and-mechanical-engineering/", "https://faculty.engineering.asu.edu/directory/semte/aerospace-and-mechanical-engineering/")</f>
        <v/>
      </c>
    </row>
    <row r="18">
      <c r="A18" s="2" t="inlineStr">
        <is>
          <t>Houlong Zhuang</t>
        </is>
      </c>
      <c r="B18" s="2" t="inlineStr">
        <is>
          <t>Associate Professor</t>
        </is>
      </c>
      <c r="C18" s="2" t="inlineStr">
        <is>
          <t>Aerospace &amp; Mechanical Engineering</t>
        </is>
      </c>
      <c r="D18" s="2" t="inlineStr">
        <is>
          <t>Arizona State University</t>
        </is>
      </c>
      <c r="E18" s="3">
        <f>HYPERLINK("mailto:zhuanghl@asu.edu", "zhuanghl@asu.edu")</f>
        <v/>
      </c>
      <c r="F18" s="2" t="n">
        <v>1</v>
      </c>
      <c r="G18" s="2" t="inlineStr">
        <is>
          <t>computational physics</t>
        </is>
      </c>
      <c r="H18" s="2" t="inlineStr">
        <is>
          <t>Quantum simulations Machine learning Quantum computing</t>
        </is>
      </c>
      <c r="I18" s="2" t="inlineStr">
        <is>
          <t>Artificial Photosynthesis, Chemistry, Computational Physics, Machine Learning, Materials Science, Metals, Nanoscience, Semiconductors</t>
        </is>
      </c>
      <c r="J1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18" s="2" t="b">
        <v>1</v>
      </c>
      <c r="L18" s="2" t="inlineStr">
        <is>
          <t>4yYKCpUAAAAJ</t>
        </is>
      </c>
      <c r="M18" s="3">
        <f>HYPERLINK("https://search.asu.edu/profile/hzhuang7", "https://search.asu.edu/profile/hzhuang7")</f>
        <v/>
      </c>
      <c r="N18" s="3">
        <f>HYPERLINK("https://scholar.google.com/citations?hl=en&amp;user=4yYKCpUAAAAJ", "Scholar (4yYKCpUAAAAJ)")</f>
        <v/>
      </c>
      <c r="O18" s="3">
        <f>HYPERLINK("https://faculty.engineering.asu.edu/directory/semte/aerospace-and-mechanical-engineering/", "https://faculty.engineering.asu.edu/directory/semte/aerospace-and-mechanical-engineering/")</f>
        <v/>
      </c>
    </row>
    <row r="19">
      <c r="A19" s="2" t="inlineStr">
        <is>
          <t>Huan Wu</t>
        </is>
      </c>
      <c r="B19" s="2" t="inlineStr">
        <is>
          <t>Faculty</t>
        </is>
      </c>
      <c r="C19" s="2" t="inlineStr">
        <is>
          <t>Aerospace &amp; Mechanical Engineering</t>
        </is>
      </c>
      <c r="D19" s="2" t="inlineStr">
        <is>
          <t>Arizona State University</t>
        </is>
      </c>
      <c r="E19" s="3">
        <f>HYPERLINK("mailto:huanwu@asu.edu", "huanwu@asu.edu")</f>
        <v/>
      </c>
      <c r="F19" s="2" t="n">
        <v>1</v>
      </c>
      <c r="G19" s="2" t="inlineStr">
        <is>
          <t>computational physics</t>
        </is>
      </c>
      <c r="H19" s="2" t="inlineStr">
        <is>
          <t>Aerospace Engineering, Computational Physics, Energy, Material Physics, Materials Science, Mechanical Engineering, Modeling and Simulation, Theoretical Solid State Physics</t>
        </is>
      </c>
      <c r="I19" s="2" t="inlineStr">
        <is>
          <t>Aerospace Engineering, Computational Physics, Energy, Material Physics, Materials Science, Mechanical Engineering, Modeling and Simulation, Theoretical Solid State Physics</t>
        </is>
      </c>
      <c r="J19" s="2" t="inlineStr">
        <is>
          <t>Dr. Wu’s research focuses on electron, phonon, and magnon transport, exploring nanoscale energy transport and conversion through first-principles approaches, as well as material thermal and electrical transport properties.</t>
        </is>
      </c>
      <c r="K19" s="2" t="b">
        <v>1</v>
      </c>
      <c r="L19" s="2" t="inlineStr">
        <is>
          <t>8CS4X9IAAAAJ</t>
        </is>
      </c>
      <c r="M19" s="3">
        <f>HYPERLINK("https://search.asu.edu/profile/huanwu", "https://search.asu.edu/profile/huanwu")</f>
        <v/>
      </c>
      <c r="N19" s="3">
        <f>HYPERLINK("https://scholar.google.com/citations?hl=en&amp;user=8CS4X9IAAAAJ", "Scholar (8CS4X9IAAAAJ)")</f>
        <v/>
      </c>
      <c r="O19" s="3">
        <f>HYPERLINK("https://faculty.engineering.asu.edu/directory/semte/aerospace-and-mechanical-engineering/", "https://faculty.engineering.asu.edu/directory/semte/aerospace-and-mechanical-engineering/")</f>
        <v/>
      </c>
    </row>
    <row r="20">
      <c r="A20" s="2" t="inlineStr">
        <is>
          <t>Jagannathan Rajagopalan</t>
        </is>
      </c>
      <c r="B20" s="2" t="inlineStr">
        <is>
          <t>Associate Professor</t>
        </is>
      </c>
      <c r="C20" s="2" t="inlineStr">
        <is>
          <t>Aerospace &amp; Mechanical Engineering</t>
        </is>
      </c>
      <c r="D20" s="2" t="inlineStr">
        <is>
          <t>Arizona State University</t>
        </is>
      </c>
      <c r="E20" s="3">
        <f>HYPERLINK("mailto:Jagannathan.Rajagopalan@asu.edu", "Jagannathan.Rajagopalan@asu.edu")</f>
        <v/>
      </c>
      <c r="F20" s="2" t="n">
        <v>1</v>
      </c>
      <c r="G20" s="2" t="inlineStr">
        <is>
          <t>optimization</t>
        </is>
      </c>
      <c r="H20" s="2" t="inlineStr">
        <is>
          <t>Synthesis of nanocrystalline materials with tailored microstructures, Mechanics of nanostructured metal and alloy films, MEMS for in situ materials testing, Polymer based micro devices for cell mechanics and biohybrid platforms</t>
        </is>
      </c>
      <c r="I20" s="2" t="inlineStr">
        <is>
          <t>Thin Film Materials, Materials Science, Mechanical Engineering</t>
        </is>
      </c>
      <c r="J20" s="2" t="inlineStr">
        <is>
          <t>Rajagopalan's research focuses on the mechanics of nanoscale materials, cells and biological systems.</t>
        </is>
      </c>
      <c r="K20" s="2" t="b">
        <v>1</v>
      </c>
      <c r="L20" s="2" t="inlineStr">
        <is>
          <t>ClqRIhIAAAAJ</t>
        </is>
      </c>
      <c r="M20" s="3">
        <f>HYPERLINK("https://search.asu.edu/profile/jrajago1", "https://search.asu.edu/profile/jrajago1")</f>
        <v/>
      </c>
      <c r="N20" s="3">
        <f>HYPERLINK("https://scholar.google.com/citations?hl=en&amp;user=ClqRIhIAAAAJ", "Scholar (ClqRIhIAAAAJ)")</f>
        <v/>
      </c>
      <c r="O20" s="3">
        <f>HYPERLINK("https://faculty.engineering.asu.edu/directory/semte/aerospace-and-mechanical-engineering/", "https://faculty.engineering.asu.edu/directory/semte/aerospace-and-mechanical-engineering/")</f>
        <v/>
      </c>
    </row>
    <row r="21">
      <c r="A21" s="2" t="inlineStr">
        <is>
          <t>Jay Oswald</t>
        </is>
      </c>
      <c r="B21" s="2" t="inlineStr">
        <is>
          <t>Associate Professor</t>
        </is>
      </c>
      <c r="C21" s="2" t="inlineStr">
        <is>
          <t>Aerospace &amp; Mechanical Engineering</t>
        </is>
      </c>
      <c r="D21" s="2" t="inlineStr">
        <is>
          <t>Arizona State University</t>
        </is>
      </c>
      <c r="E21" s="3">
        <f>HYPERLINK("mailto:joswald1@asu.edu", "joswald1@asu.edu")</f>
        <v/>
      </c>
      <c r="F21" s="2" t="n">
        <v>1</v>
      </c>
      <c r="G21" s="2" t="inlineStr">
        <is>
          <t>finite element</t>
        </is>
      </c>
      <c r="H21" s="2" t="inlineStr">
        <is>
          <t>Development of computational mechanics: finite element methods, molecular dynamics, multiscale methods, failure analysis, and material design.</t>
        </is>
      </c>
      <c r="I21" s="2" t="inlineStr"/>
      <c r="J21" s="2" t="inlineStr">
        <is>
          <t>Dr. Oswald develops computational and AI-driven methods for advanced manufacturing, including laser welding, automated inspection, robotics, and computational mechanics.</t>
        </is>
      </c>
      <c r="K21" s="2" t="b">
        <v>1</v>
      </c>
      <c r="L21" s="2" t="inlineStr"/>
      <c r="M21" s="3">
        <f>HYPERLINK("https://search.asu.edu/profile/joswald1", "https://search.asu.edu/profile/joswald1")</f>
        <v/>
      </c>
      <c r="N21" s="3">
        <f>HYPERLINK("https://scholar.google.com/citations?view_op=search_authors&amp;mauthors=Jay%20Oswald%20Arizona%20State%20University", "Google Scholar Search")</f>
        <v/>
      </c>
      <c r="O21" s="3">
        <f>HYPERLINK("https://faculty.engineering.asu.edu/directory/semte/aerospace-and-mechanical-engineering/", "https://faculty.engineering.asu.edu/directory/semte/aerospace-and-mechanical-engineering/")</f>
        <v/>
      </c>
    </row>
    <row r="22">
      <c r="A22" s="2" t="inlineStr">
        <is>
          <t>Kunal Garg</t>
        </is>
      </c>
      <c r="B22" s="2" t="inlineStr">
        <is>
          <t>Assistant Professor</t>
        </is>
      </c>
      <c r="C22" s="2" t="inlineStr">
        <is>
          <t>Aerospace &amp; Mechanical Engineering</t>
        </is>
      </c>
      <c r="D22" s="2" t="inlineStr">
        <is>
          <t>Arizona State University</t>
        </is>
      </c>
      <c r="E22" s="3">
        <f>HYPERLINK("mailto:kgarg24@asu.edu", "kgarg24@asu.edu")</f>
        <v/>
      </c>
      <c r="F22" s="2" t="n">
        <v>1</v>
      </c>
      <c r="G22" s="2" t="inlineStr">
        <is>
          <t>optimization</t>
        </is>
      </c>
      <c r="H22" s="2" t="inlineStr">
        <is>
          <t>Distributed multi-agent motion planning and control, Provably safe control design using machine learning-based certificates, Foundation models in complex robotic tasks, Failure prediction from limited demonstrations, Human-robot interaction.</t>
        </is>
      </c>
      <c r="I22" s="2" t="inlineStr">
        <is>
          <t>Control Systems, Dynamical Systems, Machine Learning, Nonlinear Dynamical Systems, Robotics</t>
        </is>
      </c>
      <c r="J22" s="2" t="inlineStr">
        <is>
          <t>Garg's research interests include control synthesis for multi-agent coordination using control theory and machine learning.</t>
        </is>
      </c>
      <c r="K22" s="2" t="b">
        <v>1</v>
      </c>
      <c r="L22" s="2" t="inlineStr">
        <is>
          <t>vs3pl-8AAAAJ</t>
        </is>
      </c>
      <c r="M22" s="3">
        <f>HYPERLINK("https://search.asu.edu/profile/kgarg24", "https://search.asu.edu/profile/kgarg24")</f>
        <v/>
      </c>
      <c r="N22" s="3">
        <f>HYPERLINK("https://scholar.google.com/citations?hl=en&amp;user=vs3pl-8AAAAJ", "Scholar (vs3pl-8AAAAJ)")</f>
        <v/>
      </c>
      <c r="O22" s="3">
        <f>HYPERLINK("https://faculty.engineering.asu.edu/directory/semte/aerospace-and-mechanical-engineering/", "https://faculty.engineering.asu.edu/directory/semte/aerospace-and-mechanical-engineering/")</f>
        <v/>
      </c>
    </row>
    <row r="23">
      <c r="A23" s="2" t="inlineStr">
        <is>
          <t>Liping Wang</t>
        </is>
      </c>
      <c r="B23" s="2" t="inlineStr">
        <is>
          <t>Associate Professor</t>
        </is>
      </c>
      <c r="C23" s="2" t="inlineStr">
        <is>
          <t>Aerospace &amp; Mechanical Engineering</t>
        </is>
      </c>
      <c r="D23" s="2" t="inlineStr">
        <is>
          <t>Arizona State University</t>
        </is>
      </c>
      <c r="E23" s="3">
        <f>HYPERLINK("mailto:Liping.Wang@asu.edu", "Liping.Wang@asu.edu")</f>
        <v/>
      </c>
      <c r="F23" s="2" t="n">
        <v>1</v>
      </c>
      <c r="G23" s="2" t="inlineStr">
        <is>
          <t>heat transfer</t>
        </is>
      </c>
      <c r="H2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23" s="2" t="inlineStr"/>
      <c r="J23" s="2" t="inlineStr">
        <is>
          <t>Wang research interests include selective control of thermal emission/absorption using meta-materials for energy harvesting and near-field radiation heat transfer enhancement between meta-materials for thermophotovoltaics.</t>
        </is>
      </c>
      <c r="K23" s="2" t="b">
        <v>1</v>
      </c>
      <c r="L23" s="2" t="inlineStr"/>
      <c r="M23" s="3">
        <f>HYPERLINK("https://search.asu.edu/profile/lwang78", "https://search.asu.edu/profile/lwang78")</f>
        <v/>
      </c>
      <c r="N23" s="3">
        <f>HYPERLINK("https://scholar.google.com/citations?view_op=search_authors&amp;mauthors=Liping%20Wang%20Arizona%20State%20University", "Google Scholar Search")</f>
        <v/>
      </c>
      <c r="O23" s="3">
        <f>HYPERLINK("https://faculty.engineering.asu.edu/directory/semte/aerospace-and-mechanical-engineering/", "https://faculty.engineering.asu.edu/directory/semte/aerospace-and-mechanical-engineering/")</f>
        <v/>
      </c>
    </row>
    <row r="24">
      <c r="A24" s="2" t="inlineStr">
        <is>
          <t>Matthew Peet</t>
        </is>
      </c>
      <c r="B24" s="2" t="inlineStr">
        <is>
          <t>Associate Professor</t>
        </is>
      </c>
      <c r="C24" s="2" t="inlineStr">
        <is>
          <t>Aerospace &amp; Mechanical Engineering</t>
        </is>
      </c>
      <c r="D24" s="2" t="inlineStr">
        <is>
          <t>Arizona State University</t>
        </is>
      </c>
      <c r="E24" s="3">
        <f>HYPERLINK("mailto:mpeet@asu.edu", "mpeet@asu.edu")</f>
        <v/>
      </c>
      <c r="F24" s="2" t="n">
        <v>1</v>
      </c>
      <c r="G24" s="2" t="inlineStr">
        <is>
          <t>optimization</t>
        </is>
      </c>
      <c r="H24"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24" s="2" t="inlineStr">
        <is>
          <t>Control Systems, Dynamical Systems Theory, Aerospace Engineering, Algorithm Development, Dynamical Systems, Nonlinear Dynamical Systems, Mathematical and System Dynamics Modeling, Immunology</t>
        </is>
      </c>
      <c r="J24" s="2" t="inlineStr">
        <is>
          <t>Peet's current research interests are in the role of computation as it is applied to the understanding and control of complex and large-scale systems.</t>
        </is>
      </c>
      <c r="K24" s="2" t="b">
        <v>1</v>
      </c>
      <c r="L24" s="2" t="inlineStr"/>
      <c r="M24" s="3">
        <f>HYPERLINK("https://search.asu.edu/profile/mpeet", "https://search.asu.edu/profile/mpeet")</f>
        <v/>
      </c>
      <c r="N24" s="3">
        <f>HYPERLINK("https://scholar.google.com/citations?view_op=search_authors&amp;mauthors=Matthew%20Peet%20Arizona%20State%20University", "Google Scholar Search")</f>
        <v/>
      </c>
      <c r="O24" s="3">
        <f>HYPERLINK("https://faculty.engineering.asu.edu/directory/semte/aerospace-and-mechanical-engineering/", "https://faculty.engineering.asu.edu/directory/semte/aerospace-and-mechanical-engineering/")</f>
        <v/>
      </c>
    </row>
    <row r="25">
      <c r="A25" s="2" t="inlineStr">
        <is>
          <t>Minglei Qu</t>
        </is>
      </c>
      <c r="B25" s="2" t="inlineStr">
        <is>
          <t>Assistant Professor</t>
        </is>
      </c>
      <c r="C25" s="2" t="inlineStr">
        <is>
          <t>Aerospace &amp; Mechanical Engineering</t>
        </is>
      </c>
      <c r="D25" s="2" t="inlineStr">
        <is>
          <t>Arizona State University</t>
        </is>
      </c>
      <c r="E25" s="3">
        <f>HYPERLINK("mailto:minglei.qu@asu.edu", "minglei.qu@asu.edu")</f>
        <v/>
      </c>
      <c r="F25" s="2" t="n">
        <v>1</v>
      </c>
      <c r="G25" s="2" t="inlineStr">
        <is>
          <t>instability</t>
        </is>
      </c>
      <c r="H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25" s="2" t="inlineStr"/>
      <c r="J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25" s="2" t="b">
        <v>1</v>
      </c>
      <c r="L25" s="2" t="inlineStr">
        <is>
          <t>9LWNC50AAAAJ</t>
        </is>
      </c>
      <c r="M25" s="3">
        <f>HYPERLINK("https://search.asu.edu/profile/mingleiq", "https://search.asu.edu/profile/mingleiq")</f>
        <v/>
      </c>
      <c r="N25" s="3">
        <f>HYPERLINK("https://scholar.google.com/citations?hl=en&amp;user=9LWNC50AAAAJ", "Scholar (9LWNC50AAAAJ)")</f>
        <v/>
      </c>
      <c r="O25" s="3">
        <f>HYPERLINK("https://faculty.engineering.asu.edu/directory/semte/aerospace-and-mechanical-engineering/", "https://faculty.engineering.asu.edu/directory/semte/aerospace-and-mechanical-engineering/")</f>
        <v/>
      </c>
    </row>
    <row r="26">
      <c r="A26" s="2" t="inlineStr">
        <is>
          <t>Robert Wang</t>
        </is>
      </c>
      <c r="B26" s="2" t="inlineStr">
        <is>
          <t>Associate Professor</t>
        </is>
      </c>
      <c r="C26" s="2" t="inlineStr">
        <is>
          <t>Aerospace &amp; Mechanical Engineering</t>
        </is>
      </c>
      <c r="D26" s="2" t="inlineStr">
        <is>
          <t>Arizona State University</t>
        </is>
      </c>
      <c r="E26" s="3">
        <f>HYPERLINK("mailto:rywang@asu.edu", "rywang@asu.edu")</f>
        <v/>
      </c>
      <c r="F26" s="2" t="n">
        <v>1</v>
      </c>
      <c r="G26" s="2" t="inlineStr">
        <is>
          <t>heat transfer</t>
        </is>
      </c>
      <c r="H2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2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26" s="2" t="inlineStr">
        <is>
          <t>Wang's research interests include thermal energy conversion, storage, and transport in nanostructured materials; thermoelectric power generation; thermal storage media; heat transfer, and phonon optics</t>
        </is>
      </c>
      <c r="K26" s="2" t="b">
        <v>1</v>
      </c>
      <c r="L26" s="2" t="inlineStr">
        <is>
          <t>LaUdx9gAAAAJ</t>
        </is>
      </c>
      <c r="M26" s="3">
        <f>HYPERLINK("https://search.asu.edu/profile/rywang", "https://search.asu.edu/profile/rywang")</f>
        <v/>
      </c>
      <c r="N26" s="3">
        <f>HYPERLINK("https://scholar.google.com/citations?hl=en&amp;user=LaUdx9gAAAAJ", "Scholar (LaUdx9gAAAAJ)")</f>
        <v/>
      </c>
      <c r="O26" s="3">
        <f>HYPERLINK("https://faculty.engineering.asu.edu/directory/semte/aerospace-and-mechanical-engineering/", "https://faculty.engineering.asu.edu/directory/semte/aerospace-and-mechanical-engineering/")</f>
        <v/>
      </c>
    </row>
    <row r="27">
      <c r="A27" s="2" t="inlineStr">
        <is>
          <t>Ronald Calhoun</t>
        </is>
      </c>
      <c r="B27" s="2" t="inlineStr">
        <is>
          <t>Associate Professor</t>
        </is>
      </c>
      <c r="C27" s="2" t="inlineStr">
        <is>
          <t>Aerospace &amp; Mechanical Engineering</t>
        </is>
      </c>
      <c r="D27" s="2" t="inlineStr">
        <is>
          <t>Arizona State University</t>
        </is>
      </c>
      <c r="E27" s="3">
        <f>HYPERLINK("mailto:Ronald.Calhoun@asu.edu", "Ronald.Calhoun@asu.edu")</f>
        <v/>
      </c>
      <c r="F27" s="2" t="n">
        <v>1</v>
      </c>
      <c r="G27" s="2" t="inlineStr">
        <is>
          <t>fluid dynamics</t>
        </is>
      </c>
      <c r="H27" s="2" t="inlineStr"/>
      <c r="I27" s="2" t="inlineStr"/>
      <c r="J27" s="2" t="inlineStr">
        <is>
          <t>Calhoun’s research interests are in fluid dynamics; atmospheric sciences; boundary layer; wind energy and remote sensing.</t>
        </is>
      </c>
      <c r="K27" s="2" t="b">
        <v>1</v>
      </c>
      <c r="L27" s="2" t="inlineStr"/>
      <c r="M27" s="3">
        <f>HYPERLINK("https://search.asu.edu/profile/rcalhou", "https://search.asu.edu/profile/rcalhou")</f>
        <v/>
      </c>
      <c r="N27" s="3">
        <f>HYPERLINK("https://scholar.google.com/citations?view_op=search_authors&amp;mauthors=Ronald%20Calhoun%20Arizona%20State%20University", "Google Scholar Search")</f>
        <v/>
      </c>
      <c r="O27" s="3">
        <f>HYPERLINK("https://faculty.engineering.asu.edu/directory/semte/aerospace-and-mechanical-engineering/", "https://faculty.engineering.asu.edu/directory/semte/aerospace-and-mechanical-engineering/")</f>
        <v/>
      </c>
    </row>
    <row r="28">
      <c r="A28" s="2" t="inlineStr">
        <is>
          <t>Spring Berman</t>
        </is>
      </c>
      <c r="B28" s="2" t="inlineStr">
        <is>
          <t>Professor</t>
        </is>
      </c>
      <c r="C28" s="2" t="inlineStr">
        <is>
          <t>Aerospace &amp; Mechanical Engineering</t>
        </is>
      </c>
      <c r="D28" s="2" t="inlineStr">
        <is>
          <t>Arizona State University</t>
        </is>
      </c>
      <c r="E28" s="3">
        <f>HYPERLINK("mailto:Spring.Berman@asu.edu", "Spring.Berman@asu.edu")</f>
        <v/>
      </c>
      <c r="F28" s="2" t="n">
        <v>1</v>
      </c>
      <c r="G28" s="2" t="inlineStr">
        <is>
          <t>optimization</t>
        </is>
      </c>
      <c r="H28" s="2" t="inlineStr">
        <is>
          <t>Modeling, analysis, control, and optimization of multi-robot systems including robotic swarms; analysis of collective behaviors in biology and biologically-inspired control of distributed systems</t>
        </is>
      </c>
      <c r="I28" s="2" t="inlineStr">
        <is>
          <t>Systems and Control Theory, Mechanical Engineering, Autonomous Technologies, Robotics</t>
        </is>
      </c>
      <c r="J28" s="2" t="inlineStr">
        <is>
          <t>Dr. Berman directs the Autonomous Collective Systems Laboratory at ASU, which models and analyzes behaviors in biological and engineered collectives and designs control strategies for multi-robot systems.</t>
        </is>
      </c>
      <c r="K28" s="2" t="b">
        <v>1</v>
      </c>
      <c r="L28" s="2" t="inlineStr">
        <is>
          <t>KKup0OgAAAAJ</t>
        </is>
      </c>
      <c r="M28" s="3">
        <f>HYPERLINK("https://search.asu.edu/profile/smberma2", "https://search.asu.edu/profile/smberma2")</f>
        <v/>
      </c>
      <c r="N28" s="3">
        <f>HYPERLINK("https://scholar.google.com/citations?hl=en&amp;user=KKup0OgAAAAJ", "Scholar (KKup0OgAAAAJ)")</f>
        <v/>
      </c>
      <c r="O28" s="3">
        <f>HYPERLINK("https://faculty.engineering.asu.edu/directory/semte/aerospace-and-mechanical-engineering/", "https://faculty.engineering.asu.edu/directory/semte/aerospace-and-mechanical-engineering/")</f>
        <v/>
      </c>
    </row>
    <row r="29">
      <c r="A29" s="2" t="inlineStr">
        <is>
          <t>Tianyu Yang</t>
        </is>
      </c>
      <c r="B29" s="2" t="inlineStr">
        <is>
          <t>Assistant Professor</t>
        </is>
      </c>
      <c r="C29" s="2" t="inlineStr">
        <is>
          <t>Aerospace &amp; Mechanical Engineering</t>
        </is>
      </c>
      <c r="D29" s="2" t="inlineStr">
        <is>
          <t>Arizona State University</t>
        </is>
      </c>
      <c r="E29" s="3">
        <f>HYPERLINK("mailto:Tianyu.Yang@asu.edu", "Tianyu.Yang@asu.edu")</f>
        <v/>
      </c>
      <c r="F29" s="2" t="n">
        <v>1</v>
      </c>
      <c r="G29" s="2" t="inlineStr">
        <is>
          <t>heat transfer</t>
        </is>
      </c>
      <c r="H29" s="2" t="inlineStr"/>
      <c r="I29" s="2" t="inlineStr"/>
      <c r="J29" s="2" t="inlineStr">
        <is>
          <t>Yang studies heat transfer, thermal management of electronics, and biomedical devices. She has published multiple research papers in major scientific journals.</t>
        </is>
      </c>
      <c r="K29" s="2" t="b">
        <v>1</v>
      </c>
      <c r="L29" s="2" t="inlineStr"/>
      <c r="M29" s="3">
        <f>HYPERLINK("https://search.asu.edu/profile/tyang123", "https://search.asu.edu/profile/tyang123")</f>
        <v/>
      </c>
      <c r="N29" s="3">
        <f>HYPERLINK("https://scholar.google.com/citations?view_op=search_authors&amp;mauthors=Tianyu%20Yang%20Arizona%20State%20University", "Google Scholar Search")</f>
        <v/>
      </c>
      <c r="O29" s="3">
        <f>HYPERLINK("https://faculty.engineering.asu.edu/directory/semte/aerospace-and-mechanical-engineering/", "https://faculty.engineering.asu.edu/directory/semte/aerospace-and-mechanical-engineering/")</f>
        <v/>
      </c>
    </row>
    <row r="30">
      <c r="A30" s="2" t="inlineStr">
        <is>
          <t>Yi Ren</t>
        </is>
      </c>
      <c r="B30" s="2" t="inlineStr">
        <is>
          <t>Associate Professor</t>
        </is>
      </c>
      <c r="C30" s="2" t="inlineStr">
        <is>
          <t>Aerospace &amp; Mechanical Engineering</t>
        </is>
      </c>
      <c r="D30" s="2" t="inlineStr">
        <is>
          <t>Arizona State University</t>
        </is>
      </c>
      <c r="E30" s="3">
        <f>HYPERLINK("mailto:yiren@asu.edu", "yiren@asu.edu")</f>
        <v/>
      </c>
      <c r="F30" s="2" t="n">
        <v>1</v>
      </c>
      <c r="G30" s="2" t="inlineStr">
        <is>
          <t>optimization</t>
        </is>
      </c>
      <c r="H30" s="2" t="inlineStr"/>
      <c r="I30" s="2" t="inlineStr"/>
      <c r="J30" s="2" t="inlineStr">
        <is>
          <t>Ren’s current research interests include optimization, product/configuration design, human-computer interaction and machine learning.</t>
        </is>
      </c>
      <c r="K30" s="2" t="b">
        <v>1</v>
      </c>
      <c r="L30" s="2" t="inlineStr"/>
      <c r="M30" s="3">
        <f>HYPERLINK("https://search.asu.edu/profile/yren32", "https://search.asu.edu/profile/yren32")</f>
        <v/>
      </c>
      <c r="N30" s="3">
        <f>HYPERLINK("https://scholar.google.com/citations?view_op=search_authors&amp;mauthors=Yi%20Ren%20Arizona%20State%20University", "Google Scholar Search")</f>
        <v/>
      </c>
      <c r="O30" s="3">
        <f>HYPERLINK("https://faculty.engineering.asu.edu/directory/semte/aerospace-and-mechanical-engineering/", "https://faculty.engineering.asu.edu/directory/semte/aerospace-and-mechanical-engineering/")</f>
        <v/>
      </c>
    </row>
    <row r="31">
      <c r="A31" s="2" t="inlineStr">
        <is>
          <t>Yongming Liu</t>
        </is>
      </c>
      <c r="B31" s="2" t="inlineStr">
        <is>
          <t>Professor</t>
        </is>
      </c>
      <c r="C31" s="2" t="inlineStr">
        <is>
          <t>Aerospace &amp; Mechanical Engineering</t>
        </is>
      </c>
      <c r="D31" s="2" t="inlineStr">
        <is>
          <t>Arizona State University</t>
        </is>
      </c>
      <c r="E31" s="3">
        <f>HYPERLINK("mailto:Yongming.Liu@asu.edu", "Yongming.Liu@asu.edu")</f>
        <v/>
      </c>
      <c r="F31" s="2" t="n">
        <v>1</v>
      </c>
      <c r="G31" s="2" t="inlineStr">
        <is>
          <t>uncertainty quantification</t>
        </is>
      </c>
      <c r="H31"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1" s="2" t="inlineStr"/>
      <c r="J31" s="2" t="inlineStr">
        <is>
          <t>Liu heads the Prognostic Analysis and Reliability Assessment Laboratory (PARA). He joined ASU in 2012.</t>
        </is>
      </c>
      <c r="K31" s="2" t="b">
        <v>1</v>
      </c>
      <c r="L31" s="2" t="inlineStr"/>
      <c r="M31" s="3">
        <f>HYPERLINK("https://search.asu.edu/profile/yliu35", "https://search.asu.edu/profile/yliu35")</f>
        <v/>
      </c>
      <c r="N31" s="3">
        <f>HYPERLINK("https://scholar.google.com/citations?view_op=search_authors&amp;mauthors=Yongming%20Liu%20Arizona%20State%20University", "Google Scholar Search")</f>
        <v/>
      </c>
      <c r="O31" s="3">
        <f>HYPERLINK("https://faculty.engineering.asu.edu/directory/semte/aerospace-and-mechanical-engineering/", "https://faculty.engineering.asu.edu/directory/semte/aerospace-and-mechanical-engineering/")</f>
        <v/>
      </c>
    </row>
  </sheetData>
  <hyperlinks>
    <hyperlink xmlns:r="http://schemas.openxmlformats.org/officeDocument/2006/relationships" ref="E2" r:id="rId1"/>
    <hyperlink xmlns:r="http://schemas.openxmlformats.org/officeDocument/2006/relationships" ref="M2" r:id="rId2"/>
    <hyperlink xmlns:r="http://schemas.openxmlformats.org/officeDocument/2006/relationships" ref="N2" r:id="rId3"/>
    <hyperlink xmlns:r="http://schemas.openxmlformats.org/officeDocument/2006/relationships" ref="O2" r:id="rId4"/>
    <hyperlink xmlns:r="http://schemas.openxmlformats.org/officeDocument/2006/relationships" ref="E3" r:id="rId5"/>
    <hyperlink xmlns:r="http://schemas.openxmlformats.org/officeDocument/2006/relationships" ref="M3" r:id="rId6"/>
    <hyperlink xmlns:r="http://schemas.openxmlformats.org/officeDocument/2006/relationships" ref="N3" r:id="rId7"/>
    <hyperlink xmlns:r="http://schemas.openxmlformats.org/officeDocument/2006/relationships" ref="O3" r:id="rId8"/>
    <hyperlink xmlns:r="http://schemas.openxmlformats.org/officeDocument/2006/relationships" ref="E4" r:id="rId9"/>
    <hyperlink xmlns:r="http://schemas.openxmlformats.org/officeDocument/2006/relationships" ref="M4" r:id="rId10"/>
    <hyperlink xmlns:r="http://schemas.openxmlformats.org/officeDocument/2006/relationships" ref="N4" r:id="rId11"/>
    <hyperlink xmlns:r="http://schemas.openxmlformats.org/officeDocument/2006/relationships" ref="O4" r:id="rId12"/>
    <hyperlink xmlns:r="http://schemas.openxmlformats.org/officeDocument/2006/relationships" ref="E5" r:id="rId13"/>
    <hyperlink xmlns:r="http://schemas.openxmlformats.org/officeDocument/2006/relationships" ref="M5" r:id="rId14"/>
    <hyperlink xmlns:r="http://schemas.openxmlformats.org/officeDocument/2006/relationships" ref="N5" r:id="rId15"/>
    <hyperlink xmlns:r="http://schemas.openxmlformats.org/officeDocument/2006/relationships" ref="O5" r:id="rId16"/>
    <hyperlink xmlns:r="http://schemas.openxmlformats.org/officeDocument/2006/relationships" ref="E6" r:id="rId17"/>
    <hyperlink xmlns:r="http://schemas.openxmlformats.org/officeDocument/2006/relationships" ref="M6" r:id="rId18"/>
    <hyperlink xmlns:r="http://schemas.openxmlformats.org/officeDocument/2006/relationships" ref="N6" r:id="rId19"/>
    <hyperlink xmlns:r="http://schemas.openxmlformats.org/officeDocument/2006/relationships" ref="O6" r:id="rId20"/>
    <hyperlink xmlns:r="http://schemas.openxmlformats.org/officeDocument/2006/relationships" ref="E7" r:id="rId21"/>
    <hyperlink xmlns:r="http://schemas.openxmlformats.org/officeDocument/2006/relationships" ref="M7" r:id="rId22"/>
    <hyperlink xmlns:r="http://schemas.openxmlformats.org/officeDocument/2006/relationships" ref="N7" r:id="rId23"/>
    <hyperlink xmlns:r="http://schemas.openxmlformats.org/officeDocument/2006/relationships" ref="O7" r:id="rId24"/>
    <hyperlink xmlns:r="http://schemas.openxmlformats.org/officeDocument/2006/relationships" ref="E8" r:id="rId25"/>
    <hyperlink xmlns:r="http://schemas.openxmlformats.org/officeDocument/2006/relationships" ref="M8" r:id="rId26"/>
    <hyperlink xmlns:r="http://schemas.openxmlformats.org/officeDocument/2006/relationships" ref="N8" r:id="rId27"/>
    <hyperlink xmlns:r="http://schemas.openxmlformats.org/officeDocument/2006/relationships" ref="O8" r:id="rId28"/>
    <hyperlink xmlns:r="http://schemas.openxmlformats.org/officeDocument/2006/relationships" ref="E9" r:id="rId29"/>
    <hyperlink xmlns:r="http://schemas.openxmlformats.org/officeDocument/2006/relationships" ref="M9" r:id="rId30"/>
    <hyperlink xmlns:r="http://schemas.openxmlformats.org/officeDocument/2006/relationships" ref="N9" r:id="rId31"/>
    <hyperlink xmlns:r="http://schemas.openxmlformats.org/officeDocument/2006/relationships" ref="O9" r:id="rId32"/>
    <hyperlink xmlns:r="http://schemas.openxmlformats.org/officeDocument/2006/relationships" ref="E10" r:id="rId33"/>
    <hyperlink xmlns:r="http://schemas.openxmlformats.org/officeDocument/2006/relationships" ref="M10" r:id="rId34"/>
    <hyperlink xmlns:r="http://schemas.openxmlformats.org/officeDocument/2006/relationships" ref="N10" r:id="rId35"/>
    <hyperlink xmlns:r="http://schemas.openxmlformats.org/officeDocument/2006/relationships" ref="O10" r:id="rId36"/>
    <hyperlink xmlns:r="http://schemas.openxmlformats.org/officeDocument/2006/relationships" ref="E11" r:id="rId37"/>
    <hyperlink xmlns:r="http://schemas.openxmlformats.org/officeDocument/2006/relationships" ref="M11" r:id="rId38"/>
    <hyperlink xmlns:r="http://schemas.openxmlformats.org/officeDocument/2006/relationships" ref="N11" r:id="rId39"/>
    <hyperlink xmlns:r="http://schemas.openxmlformats.org/officeDocument/2006/relationships" ref="O11" r:id="rId40"/>
    <hyperlink xmlns:r="http://schemas.openxmlformats.org/officeDocument/2006/relationships" ref="E12" r:id="rId41"/>
    <hyperlink xmlns:r="http://schemas.openxmlformats.org/officeDocument/2006/relationships" ref="M12" r:id="rId42"/>
    <hyperlink xmlns:r="http://schemas.openxmlformats.org/officeDocument/2006/relationships" ref="N12" r:id="rId43"/>
    <hyperlink xmlns:r="http://schemas.openxmlformats.org/officeDocument/2006/relationships" ref="O12" r:id="rId44"/>
    <hyperlink xmlns:r="http://schemas.openxmlformats.org/officeDocument/2006/relationships" ref="E13" r:id="rId45"/>
    <hyperlink xmlns:r="http://schemas.openxmlformats.org/officeDocument/2006/relationships" ref="M13" r:id="rId46"/>
    <hyperlink xmlns:r="http://schemas.openxmlformats.org/officeDocument/2006/relationships" ref="N13" r:id="rId47"/>
    <hyperlink xmlns:r="http://schemas.openxmlformats.org/officeDocument/2006/relationships" ref="O13" r:id="rId48"/>
    <hyperlink xmlns:r="http://schemas.openxmlformats.org/officeDocument/2006/relationships" ref="E14" r:id="rId49"/>
    <hyperlink xmlns:r="http://schemas.openxmlformats.org/officeDocument/2006/relationships" ref="M14" r:id="rId50"/>
    <hyperlink xmlns:r="http://schemas.openxmlformats.org/officeDocument/2006/relationships" ref="N14" r:id="rId51"/>
    <hyperlink xmlns:r="http://schemas.openxmlformats.org/officeDocument/2006/relationships" ref="O14" r:id="rId52"/>
    <hyperlink xmlns:r="http://schemas.openxmlformats.org/officeDocument/2006/relationships" ref="E15" r:id="rId53"/>
    <hyperlink xmlns:r="http://schemas.openxmlformats.org/officeDocument/2006/relationships" ref="M15" r:id="rId54"/>
    <hyperlink xmlns:r="http://schemas.openxmlformats.org/officeDocument/2006/relationships" ref="N15" r:id="rId55"/>
    <hyperlink xmlns:r="http://schemas.openxmlformats.org/officeDocument/2006/relationships" ref="O15" r:id="rId56"/>
    <hyperlink xmlns:r="http://schemas.openxmlformats.org/officeDocument/2006/relationships" ref="E16" r:id="rId57"/>
    <hyperlink xmlns:r="http://schemas.openxmlformats.org/officeDocument/2006/relationships" ref="M16" r:id="rId58"/>
    <hyperlink xmlns:r="http://schemas.openxmlformats.org/officeDocument/2006/relationships" ref="N16" r:id="rId59"/>
    <hyperlink xmlns:r="http://schemas.openxmlformats.org/officeDocument/2006/relationships" ref="O16" r:id="rId60"/>
    <hyperlink xmlns:r="http://schemas.openxmlformats.org/officeDocument/2006/relationships" ref="E17" r:id="rId61"/>
    <hyperlink xmlns:r="http://schemas.openxmlformats.org/officeDocument/2006/relationships" ref="M17" r:id="rId62"/>
    <hyperlink xmlns:r="http://schemas.openxmlformats.org/officeDocument/2006/relationships" ref="N17" r:id="rId63"/>
    <hyperlink xmlns:r="http://schemas.openxmlformats.org/officeDocument/2006/relationships" ref="O17" r:id="rId64"/>
    <hyperlink xmlns:r="http://schemas.openxmlformats.org/officeDocument/2006/relationships" ref="E18" r:id="rId65"/>
    <hyperlink xmlns:r="http://schemas.openxmlformats.org/officeDocument/2006/relationships" ref="M18" r:id="rId66"/>
    <hyperlink xmlns:r="http://schemas.openxmlformats.org/officeDocument/2006/relationships" ref="N18" r:id="rId67"/>
    <hyperlink xmlns:r="http://schemas.openxmlformats.org/officeDocument/2006/relationships" ref="O18" r:id="rId68"/>
    <hyperlink xmlns:r="http://schemas.openxmlformats.org/officeDocument/2006/relationships" ref="E19" r:id="rId69"/>
    <hyperlink xmlns:r="http://schemas.openxmlformats.org/officeDocument/2006/relationships" ref="M19" r:id="rId70"/>
    <hyperlink xmlns:r="http://schemas.openxmlformats.org/officeDocument/2006/relationships" ref="N19" r:id="rId71"/>
    <hyperlink xmlns:r="http://schemas.openxmlformats.org/officeDocument/2006/relationships" ref="O19" r:id="rId72"/>
    <hyperlink xmlns:r="http://schemas.openxmlformats.org/officeDocument/2006/relationships" ref="E20" r:id="rId73"/>
    <hyperlink xmlns:r="http://schemas.openxmlformats.org/officeDocument/2006/relationships" ref="M20" r:id="rId74"/>
    <hyperlink xmlns:r="http://schemas.openxmlformats.org/officeDocument/2006/relationships" ref="N20" r:id="rId75"/>
    <hyperlink xmlns:r="http://schemas.openxmlformats.org/officeDocument/2006/relationships" ref="O20" r:id="rId76"/>
    <hyperlink xmlns:r="http://schemas.openxmlformats.org/officeDocument/2006/relationships" ref="E21" r:id="rId77"/>
    <hyperlink xmlns:r="http://schemas.openxmlformats.org/officeDocument/2006/relationships" ref="M21" r:id="rId78"/>
    <hyperlink xmlns:r="http://schemas.openxmlformats.org/officeDocument/2006/relationships" ref="N21" r:id="rId79"/>
    <hyperlink xmlns:r="http://schemas.openxmlformats.org/officeDocument/2006/relationships" ref="O21" r:id="rId80"/>
    <hyperlink xmlns:r="http://schemas.openxmlformats.org/officeDocument/2006/relationships" ref="E22" r:id="rId81"/>
    <hyperlink xmlns:r="http://schemas.openxmlformats.org/officeDocument/2006/relationships" ref="M22" r:id="rId82"/>
    <hyperlink xmlns:r="http://schemas.openxmlformats.org/officeDocument/2006/relationships" ref="N22" r:id="rId83"/>
    <hyperlink xmlns:r="http://schemas.openxmlformats.org/officeDocument/2006/relationships" ref="O22" r:id="rId84"/>
    <hyperlink xmlns:r="http://schemas.openxmlformats.org/officeDocument/2006/relationships" ref="E23" r:id="rId85"/>
    <hyperlink xmlns:r="http://schemas.openxmlformats.org/officeDocument/2006/relationships" ref="M23" r:id="rId86"/>
    <hyperlink xmlns:r="http://schemas.openxmlformats.org/officeDocument/2006/relationships" ref="N23" r:id="rId87"/>
    <hyperlink xmlns:r="http://schemas.openxmlformats.org/officeDocument/2006/relationships" ref="O23" r:id="rId88"/>
    <hyperlink xmlns:r="http://schemas.openxmlformats.org/officeDocument/2006/relationships" ref="E24" r:id="rId89"/>
    <hyperlink xmlns:r="http://schemas.openxmlformats.org/officeDocument/2006/relationships" ref="M24" r:id="rId90"/>
    <hyperlink xmlns:r="http://schemas.openxmlformats.org/officeDocument/2006/relationships" ref="N24" r:id="rId91"/>
    <hyperlink xmlns:r="http://schemas.openxmlformats.org/officeDocument/2006/relationships" ref="O24" r:id="rId92"/>
    <hyperlink xmlns:r="http://schemas.openxmlformats.org/officeDocument/2006/relationships" ref="E25" r:id="rId93"/>
    <hyperlink xmlns:r="http://schemas.openxmlformats.org/officeDocument/2006/relationships" ref="M25" r:id="rId94"/>
    <hyperlink xmlns:r="http://schemas.openxmlformats.org/officeDocument/2006/relationships" ref="N25" r:id="rId95"/>
    <hyperlink xmlns:r="http://schemas.openxmlformats.org/officeDocument/2006/relationships" ref="O25" r:id="rId96"/>
    <hyperlink xmlns:r="http://schemas.openxmlformats.org/officeDocument/2006/relationships" ref="E26" r:id="rId97"/>
    <hyperlink xmlns:r="http://schemas.openxmlformats.org/officeDocument/2006/relationships" ref="M26" r:id="rId98"/>
    <hyperlink xmlns:r="http://schemas.openxmlformats.org/officeDocument/2006/relationships" ref="N26" r:id="rId99"/>
    <hyperlink xmlns:r="http://schemas.openxmlformats.org/officeDocument/2006/relationships" ref="O26" r:id="rId100"/>
    <hyperlink xmlns:r="http://schemas.openxmlformats.org/officeDocument/2006/relationships" ref="E27" r:id="rId101"/>
    <hyperlink xmlns:r="http://schemas.openxmlformats.org/officeDocument/2006/relationships" ref="M27" r:id="rId102"/>
    <hyperlink xmlns:r="http://schemas.openxmlformats.org/officeDocument/2006/relationships" ref="N27" r:id="rId103"/>
    <hyperlink xmlns:r="http://schemas.openxmlformats.org/officeDocument/2006/relationships" ref="O27" r:id="rId104"/>
    <hyperlink xmlns:r="http://schemas.openxmlformats.org/officeDocument/2006/relationships" ref="E28" r:id="rId105"/>
    <hyperlink xmlns:r="http://schemas.openxmlformats.org/officeDocument/2006/relationships" ref="M28" r:id="rId106"/>
    <hyperlink xmlns:r="http://schemas.openxmlformats.org/officeDocument/2006/relationships" ref="N28" r:id="rId107"/>
    <hyperlink xmlns:r="http://schemas.openxmlformats.org/officeDocument/2006/relationships" ref="O28" r:id="rId108"/>
    <hyperlink xmlns:r="http://schemas.openxmlformats.org/officeDocument/2006/relationships" ref="E29" r:id="rId109"/>
    <hyperlink xmlns:r="http://schemas.openxmlformats.org/officeDocument/2006/relationships" ref="M29" r:id="rId110"/>
    <hyperlink xmlns:r="http://schemas.openxmlformats.org/officeDocument/2006/relationships" ref="N29" r:id="rId111"/>
    <hyperlink xmlns:r="http://schemas.openxmlformats.org/officeDocument/2006/relationships" ref="O29" r:id="rId112"/>
    <hyperlink xmlns:r="http://schemas.openxmlformats.org/officeDocument/2006/relationships" ref="E30" r:id="rId113"/>
    <hyperlink xmlns:r="http://schemas.openxmlformats.org/officeDocument/2006/relationships" ref="M30" r:id="rId114"/>
    <hyperlink xmlns:r="http://schemas.openxmlformats.org/officeDocument/2006/relationships" ref="N30" r:id="rId115"/>
    <hyperlink xmlns:r="http://schemas.openxmlformats.org/officeDocument/2006/relationships" ref="O30" r:id="rId116"/>
    <hyperlink xmlns:r="http://schemas.openxmlformats.org/officeDocument/2006/relationships" ref="E31" r:id="rId117"/>
    <hyperlink xmlns:r="http://schemas.openxmlformats.org/officeDocument/2006/relationships" ref="M31" r:id="rId118"/>
    <hyperlink xmlns:r="http://schemas.openxmlformats.org/officeDocument/2006/relationships" ref="N31" r:id="rId119"/>
    <hyperlink xmlns:r="http://schemas.openxmlformats.org/officeDocument/2006/relationships" ref="O31" r:id="rId12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1" workbookViewId="0">
      <selection activeCell="A1" sqref="A1"/>
    </sheetView>
  </sheetViews>
  <sheetFormatPr baseColWidth="8" defaultRowHeight="15"/>
  <cols>
    <col width="34" customWidth="1" min="1" max="1"/>
    <col width="32"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18" customWidth="1" min="11" max="11"/>
    <col width="16" customWidth="1" min="12" max="12"/>
    <col width="49" customWidth="1" min="13" max="13"/>
    <col width="32" customWidth="1" min="14" max="14"/>
    <col width="49" customWidth="1" min="15" max="15"/>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Is Field Match</t>
        </is>
      </c>
      <c r="L1" s="1" t="inlineStr">
        <is>
          <t>Scholar ID</t>
        </is>
      </c>
      <c r="M1" s="1" t="inlineStr">
        <is>
          <t>Profile URL</t>
        </is>
      </c>
      <c r="N1" s="1" t="inlineStr">
        <is>
          <t>Google Scholar URL</t>
        </is>
      </c>
      <c r="O1" s="1" t="inlineStr">
        <is>
          <t>Directory URL</t>
        </is>
      </c>
    </row>
    <row r="2">
      <c r="A2" s="2" t="inlineStr">
        <is>
          <t>Jeonglae Kim</t>
        </is>
      </c>
      <c r="B2" s="2" t="inlineStr">
        <is>
          <t>Assistant Professor</t>
        </is>
      </c>
      <c r="C2" s="2" t="inlineStr">
        <is>
          <t>Aerospace &amp; Mechanical Engineering</t>
        </is>
      </c>
      <c r="D2" s="2" t="inlineStr">
        <is>
          <t>Arizona State University</t>
        </is>
      </c>
      <c r="E2" s="3">
        <f>HYPERLINK("mailto:jeokim@asu.edu", "jeokim@asu.edu")</f>
        <v/>
      </c>
      <c r="F2" s="2" t="n">
        <v>6</v>
      </c>
      <c r="G2" s="2" t="inlineStr">
        <is>
          <t>aeroacoustics, flow control, high-performance computing, optimization, turbulence, turbulent flows</t>
        </is>
      </c>
      <c r="H2" s="2" t="inlineStr"/>
      <c r="I2" s="2" t="inlineStr"/>
      <c r="J2" s="2" t="inlineStr">
        <is>
          <t>Kim's research interests include large-eddy simulation of high-speed turbulent flows with multi-physics, aeroacoustics, flow control and optimization.</t>
        </is>
      </c>
      <c r="K2" s="2" t="b">
        <v>1</v>
      </c>
      <c r="L2" s="2" t="inlineStr"/>
      <c r="M2" s="3">
        <f>HYPERLINK("https://search.asu.edu/profile/jkim520", "https://search.asu.edu/profile/jkim520")</f>
        <v/>
      </c>
      <c r="N2" s="3">
        <f>HYPERLINK("https://scholar.google.com/citations?view_op=search_authors&amp;mauthors=Jeonglae%20Kim%20Arizona%20State%20University", "Google Scholar Search")</f>
        <v/>
      </c>
      <c r="O2" s="3">
        <f>HYPERLINK("https://faculty.engineering.asu.edu/directory/semte/aerospace-and-mechanical-engineering/", "https://faculty.engineering.asu.edu/directory/semte/aerospace-and-mechanical-engineering/")</f>
        <v/>
      </c>
    </row>
    <row r="3">
      <c r="A3" s="2" t="inlineStr">
        <is>
          <t>Werner Dahm</t>
        </is>
      </c>
      <c r="B3" s="2" t="inlineStr">
        <is>
          <t>SUM/WTR Faculty Research</t>
        </is>
      </c>
      <c r="C3" s="2" t="inlineStr">
        <is>
          <t>Aerospace &amp; Mechanical Engineering</t>
        </is>
      </c>
      <c r="D3" s="2" t="inlineStr">
        <is>
          <t>Arizona State University</t>
        </is>
      </c>
      <c r="E3" s="3">
        <f>HYPERLINK("mailto:Werner.Dahm@asu.edu", "Werner.Dahm@asu.edu")</f>
        <v/>
      </c>
      <c r="F3" s="2" t="n">
        <v>6</v>
      </c>
      <c r="G3" s="2" t="inlineStr">
        <is>
          <t>combustion, computational physics, fluid dynamics, heat transfer, propulsion, turbulence</t>
        </is>
      </c>
      <c r="H3" s="2" t="inlineStr">
        <is>
          <t>Dr. Dahm specializes in fluid dynamics, thermodynamics, combustion, heat transfer, thermal sciences, propulsion, fuel efficiency, emissions, powertrains, and other areas relevant to a broad range of automotive, aerospace, and industrial applications. He is an author of over 200 refereed technical articles, conference papers, and technical publications, a holder of six U.S. and international patents, and has given over 260 technical presentations, including over 190 invited, plenary, and keynote lectures worldwide, on topics dealing with mechanical and aerospace engineering and defense science.</t>
        </is>
      </c>
      <c r="I3" s="2" t="inlineStr">
        <is>
          <t>Aerospace Engineering, Applied Research, Computational Modeling, Computational Physics, Mechanical Engineering, Propulsion</t>
        </is>
      </c>
      <c r="J3" s="2" t="inlineStr">
        <is>
          <t>Werner J.A. Dahm has since 2010 been the ASU Foundation Professor of Mechanical and Aerospace Engineering, and also Professor Emeritus of Engineering at the University of Michigan where served for the previous 25 years.</t>
        </is>
      </c>
      <c r="K3" s="2" t="b">
        <v>1</v>
      </c>
      <c r="L3" s="2" t="inlineStr"/>
      <c r="M3" s="3">
        <f>HYPERLINK("https://search.asu.edu/profile/wdahm", "https://search.asu.edu/profile/wdahm")</f>
        <v/>
      </c>
      <c r="N3" s="3">
        <f>HYPERLINK("https://scholar.google.com/citations?view_op=search_authors&amp;mauthors=Werner%20Dahm%20Arizona%20State%20University", "Google Scholar Search")</f>
        <v/>
      </c>
      <c r="O3" s="3">
        <f>HYPERLINK("https://faculty.engineering.asu.edu/directory/semte/aerospace-and-mechanical-engineering/", "https://faculty.engineering.asu.edu/directory/semte/aerospace-and-mechanical-engineering/")</f>
        <v/>
      </c>
    </row>
    <row r="4">
      <c r="A4" s="2" t="inlineStr">
        <is>
          <t>Kangping Chen</t>
        </is>
      </c>
      <c r="B4" s="2" t="inlineStr">
        <is>
          <t>Associate Professor</t>
        </is>
      </c>
      <c r="C4" s="2" t="inlineStr">
        <is>
          <t>Aerospace &amp; Mechanical Engineering</t>
        </is>
      </c>
      <c r="D4" s="2" t="inlineStr">
        <is>
          <t>Arizona State University</t>
        </is>
      </c>
      <c r="E4" s="3">
        <f>HYPERLINK("mailto:k.p.chen@asu.edu", "k.p.chen@asu.edu")</f>
        <v/>
      </c>
      <c r="F4" s="2" t="n">
        <v>5</v>
      </c>
      <c r="G4" s="2" t="inlineStr">
        <is>
          <t>computational fluid dynamics, drag reduction, fluid dynamics, fluid mechanics, multiphase flow</t>
        </is>
      </c>
      <c r="H4" s="2" t="inlineStr"/>
      <c r="I4" s="2" t="inlineStr"/>
      <c r="J4" s="2" t="inlineStr">
        <is>
          <t>Chen’s research interests include multiphase flows, drag reduction, airplane de-icing, interfacial instabilities and flow in porous media.</t>
        </is>
      </c>
      <c r="K4" s="2" t="b">
        <v>1</v>
      </c>
      <c r="L4" s="2" t="inlineStr">
        <is>
          <t>xT-lX9sAAAAJ</t>
        </is>
      </c>
      <c r="M4" s="3">
        <f>HYPERLINK("https://search.asu.edu/profile/asuchen", "https://search.asu.edu/profile/asuchen")</f>
        <v/>
      </c>
      <c r="N4" s="3">
        <f>HYPERLINK("https://scholar.google.com/citations?hl=en&amp;user=xT-lX9sAAAAJ", "Scholar (xT-lX9sAAAAJ)")</f>
        <v/>
      </c>
      <c r="O4" s="3">
        <f>HYPERLINK("https://faculty.engineering.asu.edu/directory/semte/aerospace-and-mechanical-engineering/", "https://faculty.engineering.asu.edu/directory/semte/aerospace-and-mechanical-engineering/")</f>
        <v/>
      </c>
    </row>
    <row r="5">
      <c r="A5" s="2" t="inlineStr">
        <is>
          <t>Kiran Ramesh</t>
        </is>
      </c>
      <c r="B5" s="2" t="inlineStr">
        <is>
          <t>Associate Professor</t>
        </is>
      </c>
      <c r="C5" s="2" t="inlineStr">
        <is>
          <t>Aerospace &amp; Mechanical Engineering</t>
        </is>
      </c>
      <c r="D5" s="2" t="inlineStr">
        <is>
          <t>Arizona State University</t>
        </is>
      </c>
      <c r="E5" s="3">
        <f>HYPERLINK("mailto:Kiran.Ramesh@asu.edu", "Kiran.Ramesh@asu.edu")</f>
        <v/>
      </c>
      <c r="F5" s="2" t="n">
        <v>5</v>
      </c>
      <c r="G5" s="2" t="inlineStr">
        <is>
          <t>aerodynamics, flow control, fluid dynamics, turbulence, vortex dynamics</t>
        </is>
      </c>
      <c r="H5" s="2" t="inlineStr">
        <is>
          <t>Unsteady aerodynamics, vortex dynamics, flow control, turbulence, separated flows</t>
        </is>
      </c>
      <c r="I5" s="2" t="inlineStr"/>
      <c r="J5" s="2" t="inlineStr">
        <is>
          <t>Ramesh's expertise is in unsteady fluid dynamics, vortex dynamics, turbulence and flow control.</t>
        </is>
      </c>
      <c r="K5" s="2" t="b">
        <v>1</v>
      </c>
      <c r="L5" s="2" t="inlineStr">
        <is>
          <t>DKc-AgcAAAAJ</t>
        </is>
      </c>
      <c r="M5" s="3">
        <f>HYPERLINK("https://search.asu.edu/profile/kramesh2", "https://search.asu.edu/profile/kramesh2")</f>
        <v/>
      </c>
      <c r="N5" s="3">
        <f>HYPERLINK("https://scholar.google.com/citations?hl=en&amp;user=DKc-AgcAAAAJ", "Scholar (DKc-AgcAAAAJ)")</f>
        <v/>
      </c>
      <c r="O5" s="3">
        <f>HYPERLINK("https://faculty.engineering.asu.edu/directory/semte/aerospace-and-mechanical-engineering/", "https://faculty.engineering.asu.edu/directory/semte/aerospace-and-mechanical-engineering/")</f>
        <v/>
      </c>
    </row>
    <row r="6">
      <c r="A6" s="2" t="inlineStr">
        <is>
          <t>Mohamed Houssem Kasbaoui</t>
        </is>
      </c>
      <c r="B6" s="2" t="inlineStr">
        <is>
          <t>Associate Professor</t>
        </is>
      </c>
      <c r="C6" s="2" t="inlineStr">
        <is>
          <t>Aerospace &amp; Mechanical Engineering</t>
        </is>
      </c>
      <c r="D6" s="2" t="inlineStr">
        <is>
          <t>Arizona State University</t>
        </is>
      </c>
      <c r="E6" s="3">
        <f>HYPERLINK("mailto:houssem.kasbaoui@asu.edu", "houssem.kasbaoui@asu.edu")</f>
        <v/>
      </c>
      <c r="F6" s="2" t="n">
        <v>5</v>
      </c>
      <c r="G6" s="2" t="inlineStr">
        <is>
          <t>cfd, computational fluid dynamics, dns, fluid dynamics, multiphase flow</t>
        </is>
      </c>
      <c r="H6" s="2" t="inlineStr"/>
      <c r="I6" s="2" t="inlineStr"/>
      <c r="J6" s="2" t="inlineStr">
        <is>
          <t>Kasbaoui's research interests include computational fluid dynamics, numerical methods, and massively parallel simulations of multiphase and particle-laden flows for environmental and aerospace applications.</t>
        </is>
      </c>
      <c r="K6" s="2" t="b">
        <v>1</v>
      </c>
      <c r="L6" s="2" t="inlineStr"/>
      <c r="M6" s="3">
        <f>HYPERLINK("https://search.asu.edu/profile/mkasbaou", "https://search.asu.edu/profile/mkasbaou")</f>
        <v/>
      </c>
      <c r="N6" s="3">
        <f>HYPERLINK("https://scholar.google.com/citations?view_op=search_authors&amp;mauthors=Mohamed%20Houssem%20Kasbaoui%20Arizona%20State%20University", "Google Scholar Search")</f>
        <v/>
      </c>
      <c r="O6" s="3">
        <f>HYPERLINK("https://faculty.engineering.asu.edu/directory/semte/aerospace-and-mechanical-engineering/", "https://faculty.engineering.asu.edu/directory/semte/aerospace-and-mechanical-engineering/")</f>
        <v/>
      </c>
    </row>
    <row r="7">
      <c r="A7" s="2" t="inlineStr">
        <is>
          <t>Aditi Chattopadhyay</t>
        </is>
      </c>
      <c r="B7" s="2" t="inlineStr">
        <is>
          <t>Regents Professor</t>
        </is>
      </c>
      <c r="C7" s="2" t="inlineStr">
        <is>
          <t>Aerospace &amp; Mechanical Engineering</t>
        </is>
      </c>
      <c r="D7" s="2" t="inlineStr">
        <is>
          <t>Arizona State University</t>
        </is>
      </c>
      <c r="E7" s="3">
        <f>HYPERLINK("mailto:aditi@asu.edu", "aditi@asu.edu")</f>
        <v/>
      </c>
      <c r="F7" s="2" t="n">
        <v>4</v>
      </c>
      <c r="G7" s="2" t="inlineStr">
        <is>
          <t>inverse problems, multiscale modeling, optimization, transition</t>
        </is>
      </c>
      <c r="H7" s="2" t="inlineStr"/>
      <c r="I7" s="2" t="inlineStr"/>
      <c r="J7" s="2" t="inlineStr">
        <is>
          <t>Chattopadhyay is the director of Adaptive Intelligent Materials and Systems (AIMS) Center at ASU. Her research focuses on structural health monitoring and damage prognosis, and multidisciplinary design optimization.</t>
        </is>
      </c>
      <c r="K7" s="2" t="b">
        <v>1</v>
      </c>
      <c r="L7" s="2" t="inlineStr">
        <is>
          <t>w3fU9E0AAAAJ</t>
        </is>
      </c>
      <c r="M7" s="3">
        <f>HYPERLINK("https://search.asu.edu/profile/chattopa", "https://search.asu.edu/profile/chattopa")</f>
        <v/>
      </c>
      <c r="N7" s="3">
        <f>HYPERLINK("https://scholar.google.com/citations?hl=en&amp;user=w3fU9E0AAAAJ", "Scholar (w3fU9E0AAAAJ)")</f>
        <v/>
      </c>
      <c r="O7" s="3">
        <f>HYPERLINK("https://faculty.engineering.asu.edu/directory/semte/aerospace-and-mechanical-engineering/", "https://faculty.engineering.asu.edu/directory/semte/aerospace-and-mechanical-engineering/")</f>
        <v/>
      </c>
    </row>
    <row r="8">
      <c r="A8" s="2" t="inlineStr">
        <is>
          <t>Gokul Pathikonda</t>
        </is>
      </c>
      <c r="B8" s="2" t="inlineStr">
        <is>
          <t>Assistant Professor</t>
        </is>
      </c>
      <c r="C8" s="2" t="inlineStr">
        <is>
          <t>Aerospace &amp; Mechanical Engineering</t>
        </is>
      </c>
      <c r="D8" s="2" t="inlineStr">
        <is>
          <t>Arizona State University</t>
        </is>
      </c>
      <c r="E8" s="3">
        <f>HYPERLINK("mailto:Gokul.Pathikonda@asu.edu", "Gokul.Pathikonda@asu.edu")</f>
        <v/>
      </c>
      <c r="F8" s="2" t="n">
        <v>4</v>
      </c>
      <c r="G8" s="2" t="inlineStr">
        <is>
          <t>aerodynamics, reacting flows, turbulence, turbulent mixing</t>
        </is>
      </c>
      <c r="H8" s="2" t="inlineStr">
        <is>
          <t>Aerodynamics, Aerospace Engineering, Mechanical Engineering</t>
        </is>
      </c>
      <c r="I8" s="2" t="inlineStr">
        <is>
          <t>Aerodynamics, Aerospace Engineering, Mechanical Engineering</t>
        </is>
      </c>
      <c r="J8" s="2" t="inlineStr">
        <is>
          <t>Dr. Pathikonda studies turbulent fluid flows to understand natural and engineering phenomena using lab experiments. His expertise is in complex (reacting) mixing, high Re-flows, laser-based &amp; spectroscopic techniques, etc.</t>
        </is>
      </c>
      <c r="K8" s="2" t="b">
        <v>1</v>
      </c>
      <c r="L8" s="2" t="inlineStr"/>
      <c r="M8" s="3">
        <f>HYPERLINK("https://search.asu.edu/profile/gpathiko", "https://search.asu.edu/profile/gpathiko")</f>
        <v/>
      </c>
      <c r="N8" s="3">
        <f>HYPERLINK("https://scholar.google.com/citations?view_op=search_authors&amp;mauthors=Gokul%20Pathikonda%20Arizona%20State%20University", "Google Scholar Search")</f>
        <v/>
      </c>
      <c r="O8" s="3">
        <f>HYPERLINK("https://faculty.engineering.asu.edu/directory/semte/aerospace-and-mechanical-engineering/", "https://faculty.engineering.asu.edu/directory/semte/aerospace-and-mechanical-engineering/")</f>
        <v/>
      </c>
    </row>
    <row r="9">
      <c r="A9" s="2" t="inlineStr">
        <is>
          <t>Marcus Herrmann</t>
        </is>
      </c>
      <c r="B9" s="2" t="inlineStr">
        <is>
          <t>Professor</t>
        </is>
      </c>
      <c r="C9" s="2" t="inlineStr">
        <is>
          <t>Aerospace &amp; Mechanical Engineering</t>
        </is>
      </c>
      <c r="D9" s="2" t="inlineStr">
        <is>
          <t>Arizona State University</t>
        </is>
      </c>
      <c r="E9" s="3">
        <f>HYPERLINK("mailto:Marcus.Herrmann@asu.edu", "Marcus.Herrmann@asu.edu")</f>
        <v/>
      </c>
      <c r="F9" s="2" t="n">
        <v>4</v>
      </c>
      <c r="G9" s="2" t="inlineStr">
        <is>
          <t>fluid mechanics, multiphase flow, numerical simulation, turbulence</t>
        </is>
      </c>
      <c r="H9" s="2" t="inlineStr"/>
      <c r="I9" s="2" t="inlineStr"/>
      <c r="J9" s="2" t="inlineStr">
        <is>
          <t>Herrmann's research interests include fluid mechanics, modeling and numerical simulation of multiphase flows with a focus on turbulent atomization processes, and numerical methods for discontinuous interfaces.</t>
        </is>
      </c>
      <c r="K9" s="2" t="b">
        <v>1</v>
      </c>
      <c r="L9" s="2" t="inlineStr">
        <is>
          <t>yv6aCW8AAAAJ</t>
        </is>
      </c>
      <c r="M9" s="3">
        <f>HYPERLINK("https://search.asu.edu/profile/mherrma1", "https://search.asu.edu/profile/mherrma1")</f>
        <v/>
      </c>
      <c r="N9" s="3">
        <f>HYPERLINK("https://scholar.google.com/citations?hl=en&amp;user=yv6aCW8AAAAJ", "Scholar (yv6aCW8AAAAJ)")</f>
        <v/>
      </c>
      <c r="O9" s="3">
        <f>HYPERLINK("https://faculty.engineering.asu.edu/directory/semte/aerospace-and-mechanical-engineering/", "https://faculty.engineering.asu.edu/directory/semte/aerospace-and-mechanical-engineering/")</f>
        <v/>
      </c>
    </row>
    <row r="10">
      <c r="A10" s="2" t="inlineStr">
        <is>
          <t>Alberto Scotti</t>
        </is>
      </c>
      <c r="B10" s="2" t="inlineStr">
        <is>
          <t>Professor</t>
        </is>
      </c>
      <c r="C10" s="2" t="inlineStr">
        <is>
          <t>Aerospace &amp; Mechanical Engineering</t>
        </is>
      </c>
      <c r="D10" s="2" t="inlineStr">
        <is>
          <t>Arizona State University</t>
        </is>
      </c>
      <c r="E10" s="3">
        <f>HYPERLINK("mailto:Alberto.Scotti@asu.edu", "Alberto.Scotti@asu.edu")</f>
        <v/>
      </c>
      <c r="F10" s="2" t="n">
        <v>3</v>
      </c>
      <c r="G10" s="2" t="inlineStr">
        <is>
          <t>applied mathematics, fluid mechanics, turbulent mixing</t>
        </is>
      </c>
      <c r="H10" s="2" t="inlineStr">
        <is>
          <t>Modeling and Simulation, Oceanography, Earth Systems and Climate Science, Modeling, Modeling, Simulation and Cyberinfrastructure, Applied Mathematics</t>
        </is>
      </c>
      <c r="I10" s="2" t="inlineStr">
        <is>
          <t>Modeling and Simulation, Oceanography, Earth Systems and Climate Science, Modeling, Modeling, Simulation and Cyberinfrastructure, Applied Mathematics</t>
        </is>
      </c>
      <c r="J10" s="2" t="inlineStr">
        <is>
          <t>Scotti's main focus is theoretical, experimental and computational aspects of environmental fluid mechanics.</t>
        </is>
      </c>
      <c r="K10" s="2" t="b">
        <v>1</v>
      </c>
      <c r="L10" s="2" t="inlineStr">
        <is>
          <t>HRx2lJQAAAAJ</t>
        </is>
      </c>
      <c r="M10" s="3">
        <f>HYPERLINK("https://search.asu.edu/profile/adscotti", "https://search.asu.edu/profile/adscotti")</f>
        <v/>
      </c>
      <c r="N10" s="3">
        <f>HYPERLINK("https://scholar.google.com/citations?hl=en&amp;user=HRx2lJQAAAAJ", "Scholar (HRx2lJQAAAAJ)")</f>
        <v/>
      </c>
      <c r="O10" s="3">
        <f>HYPERLINK("https://faculty.engineering.asu.edu/directory/semte/aerospace-and-mechanical-engineering/", "https://faculty.engineering.asu.edu/directory/semte/aerospace-and-mechanical-engineering/")</f>
        <v/>
      </c>
    </row>
    <row r="11">
      <c r="A11" s="2" t="inlineStr">
        <is>
          <t>Beomjin Kwon</t>
        </is>
      </c>
      <c r="B11" s="2" t="inlineStr">
        <is>
          <t>Associate Professor</t>
        </is>
      </c>
      <c r="C11" s="2" t="inlineStr">
        <is>
          <t>Aerospace &amp; Mechanical Engineering</t>
        </is>
      </c>
      <c r="D11" s="2" t="inlineStr">
        <is>
          <t>Arizona State University</t>
        </is>
      </c>
      <c r="E11" s="3">
        <f>HYPERLINK("mailto:kwon@asu.edu", "kwon@asu.edu")</f>
        <v/>
      </c>
      <c r="F11" s="2" t="n">
        <v>3</v>
      </c>
      <c r="G11" s="2" t="inlineStr">
        <is>
          <t>data-driven modeling, heat transfer, transport phenomena</t>
        </is>
      </c>
      <c r="H11" s="2" t="inlineStr">
        <is>
          <t>Transport phenomena in heat transfer systems Additive manufacturing Data-driven modeling and design</t>
        </is>
      </c>
      <c r="I11" s="2" t="inlineStr"/>
      <c r="J11" s="2" t="inlineStr">
        <is>
          <t>Kwon aims to improve the energy conversion and transport systems through the fundamental insights into transport physics, and by exploiting additive manufacturing and data-driven approaches.</t>
        </is>
      </c>
      <c r="K11" s="2" t="b">
        <v>1</v>
      </c>
      <c r="L11" s="2" t="inlineStr">
        <is>
          <t>fs2d97sAAAAJ</t>
        </is>
      </c>
      <c r="M11" s="3">
        <f>HYPERLINK("https://search.asu.edu/profile/bkwon2", "https://search.asu.edu/profile/bkwon2")</f>
        <v/>
      </c>
      <c r="N11" s="3">
        <f>HYPERLINK("https://scholar.google.com/citations?hl=en&amp;user=fs2d97sAAAAJ", "Scholar (fs2d97sAAAAJ)")</f>
        <v/>
      </c>
      <c r="O11" s="3">
        <f>HYPERLINK("https://faculty.engineering.asu.edu/directory/semte/aerospace-and-mechanical-engineering/", "https://faculty.engineering.asu.edu/directory/semte/aerospace-and-mechanical-engineering/")</f>
        <v/>
      </c>
    </row>
    <row r="12">
      <c r="A12" s="2" t="inlineStr">
        <is>
          <t>Leixin Ma</t>
        </is>
      </c>
      <c r="B12" s="2" t="inlineStr">
        <is>
          <t>Assistant Professor</t>
        </is>
      </c>
      <c r="C12" s="2" t="inlineStr">
        <is>
          <t>Aerospace &amp; Mechanical Engineering</t>
        </is>
      </c>
      <c r="D12" s="2" t="inlineStr">
        <is>
          <t>Arizona State University</t>
        </is>
      </c>
      <c r="E12" s="3">
        <f>HYPERLINK("mailto:Leixin.Ma@asu.edu", "Leixin.Ma@asu.edu")</f>
        <v/>
      </c>
      <c r="F12" s="2" t="n">
        <v>3</v>
      </c>
      <c r="G12" s="2" t="inlineStr">
        <is>
          <t>aerodynamics, fluid-structure interaction, physics-informed machine learning</t>
        </is>
      </c>
      <c r="H12" s="2" t="inlineStr">
        <is>
          <t>Aerodynamics, Dynamical Systems, Machine Learning, Mechanics of Composite Materials</t>
        </is>
      </c>
      <c r="I12" s="2" t="inlineStr">
        <is>
          <t>Aerodynamics, Dynamical Systems, Machine Learning, Mechanics of Composite Materials</t>
        </is>
      </c>
      <c r="J12" s="2" t="inlineStr">
        <is>
          <t>Leixin Ma's career goal is a data-driven and physically consistent approach to modeling and designing programmable smart structures and robots, especially under complex fluid flow conditions.</t>
        </is>
      </c>
      <c r="K12" s="2" t="b">
        <v>1</v>
      </c>
      <c r="L12" s="2" t="inlineStr">
        <is>
          <t>2xQTOc0AAAAJ</t>
        </is>
      </c>
      <c r="M12" s="3">
        <f>HYPERLINK("https://search.asu.edu/profile/leixinma", "https://search.asu.edu/profile/leixinma")</f>
        <v/>
      </c>
      <c r="N12" s="3">
        <f>HYPERLINK("https://scholar.google.com/citations?hl=en&amp;user=2xQTOc0AAAAJ", "Scholar (2xQTOc0AAAAJ)")</f>
        <v/>
      </c>
      <c r="O12" s="3">
        <f>HYPERLINK("https://faculty.engineering.asu.edu/directory/semte/aerospace-and-mechanical-engineering/", "https://faculty.engineering.asu.edu/directory/semte/aerospace-and-mechanical-engineering/")</f>
        <v/>
      </c>
    </row>
    <row r="13">
      <c r="A13" s="2" t="inlineStr">
        <is>
          <t>Yulia Peet</t>
        </is>
      </c>
      <c r="B13" s="2" t="inlineStr">
        <is>
          <t>Professor</t>
        </is>
      </c>
      <c r="C13" s="2" t="inlineStr">
        <is>
          <t>Aerospace &amp; Mechanical Engineering</t>
        </is>
      </c>
      <c r="D13" s="2" t="inlineStr">
        <is>
          <t>Arizona State University</t>
        </is>
      </c>
      <c r="E13" s="3">
        <f>HYPERLINK("mailto:ypeet@asu.edu", "ypeet@asu.edu")</f>
        <v/>
      </c>
      <c r="F13" s="2" t="n">
        <v>3</v>
      </c>
      <c r="G13" s="2" t="inlineStr">
        <is>
          <t>fluid mechanics, high-performance computing, turbulence</t>
        </is>
      </c>
      <c r="H13" s="2" t="inlineStr"/>
      <c r="I13" s="2" t="inlineStr"/>
      <c r="J13"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13" s="2" t="b">
        <v>1</v>
      </c>
      <c r="L13" s="2" t="inlineStr">
        <is>
          <t>_6o8MrUAAAAJ</t>
        </is>
      </c>
      <c r="M13" s="3">
        <f>HYPERLINK("https://search.asu.edu/profile/ypeet", "https://search.asu.edu/profile/ypeet")</f>
        <v/>
      </c>
      <c r="N13" s="3">
        <f>HYPERLINK("https://scholar.google.com/citations?hl=en&amp;user=_6o8MrUAAAAJ", "Scholar (_6o8MrUAAAAJ)")</f>
        <v/>
      </c>
      <c r="O13" s="3">
        <f>HYPERLINK("https://faculty.engineering.asu.edu/directory/semte/aerospace-and-mechanical-engineering/", "https://faculty.engineering.asu.edu/directory/semte/aerospace-and-mechanical-engineering/")</f>
        <v/>
      </c>
    </row>
    <row r="14">
      <c r="A14" s="2" t="inlineStr">
        <is>
          <t>Huei-Ping Huang</t>
        </is>
      </c>
      <c r="B14" s="2" t="inlineStr">
        <is>
          <t>Associate Professor</t>
        </is>
      </c>
      <c r="C14" s="2" t="inlineStr">
        <is>
          <t>Aerospace &amp; Mechanical Engineering</t>
        </is>
      </c>
      <c r="D14" s="2" t="inlineStr">
        <is>
          <t>Arizona State University</t>
        </is>
      </c>
      <c r="E14" s="3">
        <f>HYPERLINK("mailto:Huei-Ping.Huang@asu.edu", "Huei-Ping.Huang@asu.edu")</f>
        <v/>
      </c>
      <c r="F14" s="2" t="n">
        <v>2</v>
      </c>
      <c r="G14" s="2" t="inlineStr">
        <is>
          <t>fluid dynamics, numerical simulation</t>
        </is>
      </c>
      <c r="H14" s="2" t="inlineStr"/>
      <c r="I14" s="2" t="inlineStr"/>
      <c r="J14" s="2" t="inlineStr">
        <is>
          <t>Huang's research interests are geophysical and environmental fluid dynamics, numerical simulation of atmospheric and oceanic flows, Earth system remote sensing, and climate change.</t>
        </is>
      </c>
      <c r="K14" s="2" t="b">
        <v>1</v>
      </c>
      <c r="L14" s="2" t="inlineStr"/>
      <c r="M14" s="3">
        <f>HYPERLINK("https://search.asu.edu/profile/hhuang38", "https://search.asu.edu/profile/hhuang38")</f>
        <v/>
      </c>
      <c r="N14" s="3">
        <f>HYPERLINK("https://scholar.google.com/citations?view_op=search_authors&amp;mauthors=Huei-Ping%20Huang%20Arizona%20State%20University", "Google Scholar Search")</f>
        <v/>
      </c>
      <c r="O14" s="3">
        <f>HYPERLINK("https://faculty.engineering.asu.edu/directory/semte/aerospace-and-mechanical-engineering/", "https://faculty.engineering.asu.edu/directory/semte/aerospace-and-mechanical-engineering/")</f>
        <v/>
      </c>
    </row>
    <row r="15">
      <c r="A15" s="2" t="inlineStr">
        <is>
          <t>Raghavendra Murthy</t>
        </is>
      </c>
      <c r="B15" s="2" t="inlineStr">
        <is>
          <t>Associate Teaching Professor</t>
        </is>
      </c>
      <c r="C15" s="2" t="inlineStr">
        <is>
          <t>Aerospace &amp; Mechanical Engineering</t>
        </is>
      </c>
      <c r="D15" s="2" t="inlineStr">
        <is>
          <t>Arizona State University</t>
        </is>
      </c>
      <c r="E15" s="3">
        <f>HYPERLINK("mailto:rnmurthy@asu.edu", "rnmurthy@asu.edu")</f>
        <v/>
      </c>
      <c r="F15" s="2" t="n">
        <v>2</v>
      </c>
      <c r="G15" s="2" t="inlineStr">
        <is>
          <t>optimization, reduced-order modeling</t>
        </is>
      </c>
      <c r="H15" s="2" t="inlineStr">
        <is>
          <t>Structural Dynamics, Rotordynamics, Vibration Analysis, Reduced-Order Modeling, Optimization</t>
        </is>
      </c>
      <c r="I15" s="2" t="inlineStr"/>
      <c r="J15" s="2" t="inlineStr"/>
      <c r="K15" s="2" t="b">
        <v>1</v>
      </c>
      <c r="L15" s="2" t="inlineStr"/>
      <c r="M15" s="3">
        <f>HYPERLINK("https://search.asu.edu/profile/rnmurthy", "https://search.asu.edu/profile/rnmurthy")</f>
        <v/>
      </c>
      <c r="N15" s="3">
        <f>HYPERLINK("https://scholar.google.com/citations?view_op=search_authors&amp;mauthors=Raghavendra%20Murthy%20Arizona%20State%20University", "Google Scholar Search")</f>
        <v/>
      </c>
      <c r="O15" s="3">
        <f>HYPERLINK("https://faculty.engineering.asu.edu/directory/semte/aerospace-and-mechanical-engineering/", "https://faculty.engineering.asu.edu/directory/semte/aerospace-and-mechanical-engineering/")</f>
        <v/>
      </c>
    </row>
    <row r="16">
      <c r="A16" s="2" t="inlineStr">
        <is>
          <t>Ryan Milcarek</t>
        </is>
      </c>
      <c r="B16" s="2" t="inlineStr">
        <is>
          <t>Associate Professor</t>
        </is>
      </c>
      <c r="C16" s="2" t="inlineStr">
        <is>
          <t>Aerospace &amp; Mechanical Engineering</t>
        </is>
      </c>
      <c r="D16" s="2" t="inlineStr">
        <is>
          <t>Arizona State University</t>
        </is>
      </c>
      <c r="E16" s="3">
        <f>HYPERLINK("mailto:Ryan.Milcarek@asu.edu", "Ryan.Milcarek@asu.edu")</f>
        <v/>
      </c>
      <c r="F16" s="2" t="n">
        <v>2</v>
      </c>
      <c r="G16" s="2" t="inlineStr">
        <is>
          <t>combustion, transition</t>
        </is>
      </c>
      <c r="H16" s="2" t="inlineStr">
        <is>
          <t>Energy management and efficiency, energy transition, energy storage, solid oxide fuel cells, partial oxidation, cogeneration, combustion, and synthesis of hydrogen</t>
        </is>
      </c>
      <c r="I16" s="2" t="inlineStr">
        <is>
          <t>Ceramics, Electrochemistry, Energy, Energy and Sustainability, Energy Conservation, Energy Economics, Energy Efficiency Technologies, Thin Film Materials</t>
        </is>
      </c>
      <c r="J16" s="2" t="inlineStr">
        <is>
          <t>Milcarek's current research focuses on energy management and efficiency, energy system modeling, energy transition, energy storage, solid oxide fuel cells fabrication and testing, partial oxidation and synthesis of hydrogen.</t>
        </is>
      </c>
      <c r="K16" s="2" t="b">
        <v>1</v>
      </c>
      <c r="L16" s="2" t="inlineStr"/>
      <c r="M16" s="3">
        <f>HYPERLINK("https://search.asu.edu/profile/rjmilcar", "https://search.asu.edu/profile/rjmilcar")</f>
        <v/>
      </c>
      <c r="N16" s="3">
        <f>HYPERLINK("https://scholar.google.com/citations?view_op=search_authors&amp;mauthors=Ryan%20Milcarek%20Arizona%20State%20University", "Google Scholar Search")</f>
        <v/>
      </c>
      <c r="O16" s="3">
        <f>HYPERLINK("https://faculty.engineering.asu.edu/directory/semte/aerospace-and-mechanical-engineering/", "https://faculty.engineering.asu.edu/directory/semte/aerospace-and-mechanical-engineering/")</f>
        <v/>
      </c>
    </row>
    <row r="17">
      <c r="A17" s="2" t="inlineStr">
        <is>
          <t>T.-W. Lee</t>
        </is>
      </c>
      <c r="B17" s="2" t="inlineStr">
        <is>
          <t>Associate Professor</t>
        </is>
      </c>
      <c r="C17" s="2" t="inlineStr">
        <is>
          <t>Aerospace &amp; Mechanical Engineering</t>
        </is>
      </c>
      <c r="D17" s="2" t="inlineStr">
        <is>
          <t>Arizona State University</t>
        </is>
      </c>
      <c r="E17" s="3">
        <f>HYPERLINK("mailto:ATTWL@asu.edu", "ATTWL@asu.edu")</f>
        <v/>
      </c>
      <c r="F17" s="2" t="n">
        <v>2</v>
      </c>
      <c r="G17" s="2" t="inlineStr">
        <is>
          <t>aerospace propulsion, propulsion</t>
        </is>
      </c>
      <c r="H17" s="2" t="inlineStr"/>
      <c r="I17" s="2" t="inlineStr"/>
      <c r="J17" s="2" t="inlineStr">
        <is>
          <t>Lee's areas of expertise include energy system analysis, thermal and fluid process characterization, and fuel property measurements for energy systems.</t>
        </is>
      </c>
      <c r="K17" s="2" t="b">
        <v>1</v>
      </c>
      <c r="L17" s="2" t="inlineStr"/>
      <c r="M17" s="3">
        <f>HYPERLINK("https://search.asu.edu/profile/attwl", "https://search.asu.edu/profile/attwl")</f>
        <v/>
      </c>
      <c r="N17" s="3">
        <f>HYPERLINK("https://scholar.google.com/citations?view_op=search_authors&amp;mauthors=T.-W.%20Lee%20Arizona%20State%20University", "Google Scholar Search")</f>
        <v/>
      </c>
      <c r="O17" s="3">
        <f>HYPERLINK("https://faculty.engineering.asu.edu/directory/semte/aerospace-and-mechanical-engineering/", "https://faculty.engineering.asu.edu/directory/semte/aerospace-and-mechanical-engineering/")</f>
        <v/>
      </c>
    </row>
    <row r="18">
      <c r="A18" s="2" t="inlineStr">
        <is>
          <t>Houlong Zhuang</t>
        </is>
      </c>
      <c r="B18" s="2" t="inlineStr">
        <is>
          <t>Associate Professor</t>
        </is>
      </c>
      <c r="C18" s="2" t="inlineStr">
        <is>
          <t>Aerospace &amp; Mechanical Engineering</t>
        </is>
      </c>
      <c r="D18" s="2" t="inlineStr">
        <is>
          <t>Arizona State University</t>
        </is>
      </c>
      <c r="E18" s="3">
        <f>HYPERLINK("mailto:zhuanghl@asu.edu", "zhuanghl@asu.edu")</f>
        <v/>
      </c>
      <c r="F18" s="2" t="n">
        <v>1</v>
      </c>
      <c r="G18" s="2" t="inlineStr">
        <is>
          <t>computational physics</t>
        </is>
      </c>
      <c r="H18" s="2" t="inlineStr">
        <is>
          <t>Quantum simulations Machine learning Quantum computing</t>
        </is>
      </c>
      <c r="I18" s="2" t="inlineStr">
        <is>
          <t>Artificial Photosynthesis, Chemistry, Computational Physics, Machine Learning, Materials Science, Metals, Nanoscience, Semiconductors</t>
        </is>
      </c>
      <c r="J1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18" s="2" t="b">
        <v>1</v>
      </c>
      <c r="L18" s="2" t="inlineStr">
        <is>
          <t>4yYKCpUAAAAJ</t>
        </is>
      </c>
      <c r="M18" s="3">
        <f>HYPERLINK("https://search.asu.edu/profile/hzhuang7", "https://search.asu.edu/profile/hzhuang7")</f>
        <v/>
      </c>
      <c r="N18" s="3">
        <f>HYPERLINK("https://scholar.google.com/citations?hl=en&amp;user=4yYKCpUAAAAJ", "Scholar (4yYKCpUAAAAJ)")</f>
        <v/>
      </c>
      <c r="O18" s="3">
        <f>HYPERLINK("https://faculty.engineering.asu.edu/directory/semte/aerospace-and-mechanical-engineering/", "https://faculty.engineering.asu.edu/directory/semte/aerospace-and-mechanical-engineering/")</f>
        <v/>
      </c>
    </row>
    <row r="19">
      <c r="A19" s="2" t="inlineStr">
        <is>
          <t>Huan Wu</t>
        </is>
      </c>
      <c r="B19" s="2" t="inlineStr">
        <is>
          <t>Faculty</t>
        </is>
      </c>
      <c r="C19" s="2" t="inlineStr">
        <is>
          <t>Aerospace &amp; Mechanical Engineering</t>
        </is>
      </c>
      <c r="D19" s="2" t="inlineStr">
        <is>
          <t>Arizona State University</t>
        </is>
      </c>
      <c r="E19" s="3">
        <f>HYPERLINK("mailto:huanwu@asu.edu", "huanwu@asu.edu")</f>
        <v/>
      </c>
      <c r="F19" s="2" t="n">
        <v>1</v>
      </c>
      <c r="G19" s="2" t="inlineStr">
        <is>
          <t>computational physics</t>
        </is>
      </c>
      <c r="H19" s="2" t="inlineStr">
        <is>
          <t>Aerospace Engineering, Computational Physics, Energy, Material Physics, Materials Science, Mechanical Engineering, Modeling and Simulation, Theoretical Solid State Physics</t>
        </is>
      </c>
      <c r="I19" s="2" t="inlineStr">
        <is>
          <t>Aerospace Engineering, Computational Physics, Energy, Material Physics, Materials Science, Mechanical Engineering, Modeling and Simulation, Theoretical Solid State Physics</t>
        </is>
      </c>
      <c r="J19" s="2" t="inlineStr">
        <is>
          <t>Dr. Wu’s research focuses on electron, phonon, and magnon transport, exploring nanoscale energy transport and conversion through first-principles approaches, as well as material thermal and electrical transport properties.</t>
        </is>
      </c>
      <c r="K19" s="2" t="b">
        <v>1</v>
      </c>
      <c r="L19" s="2" t="inlineStr">
        <is>
          <t>8CS4X9IAAAAJ</t>
        </is>
      </c>
      <c r="M19" s="3">
        <f>HYPERLINK("https://search.asu.edu/profile/huanwu", "https://search.asu.edu/profile/huanwu")</f>
        <v/>
      </c>
      <c r="N19" s="3">
        <f>HYPERLINK("https://scholar.google.com/citations?hl=en&amp;user=8CS4X9IAAAAJ", "Scholar (8CS4X9IAAAAJ)")</f>
        <v/>
      </c>
      <c r="O19" s="3">
        <f>HYPERLINK("https://faculty.engineering.asu.edu/directory/semte/aerospace-and-mechanical-engineering/", "https://faculty.engineering.asu.edu/directory/semte/aerospace-and-mechanical-engineering/")</f>
        <v/>
      </c>
    </row>
    <row r="20">
      <c r="A20" s="2" t="inlineStr">
        <is>
          <t>Jagannathan Rajagopalan</t>
        </is>
      </c>
      <c r="B20" s="2" t="inlineStr">
        <is>
          <t>Associate Professor</t>
        </is>
      </c>
      <c r="C20" s="2" t="inlineStr">
        <is>
          <t>Aerospace &amp; Mechanical Engineering</t>
        </is>
      </c>
      <c r="D20" s="2" t="inlineStr">
        <is>
          <t>Arizona State University</t>
        </is>
      </c>
      <c r="E20" s="3">
        <f>HYPERLINK("mailto:Jagannathan.Rajagopalan@asu.edu", "Jagannathan.Rajagopalan@asu.edu")</f>
        <v/>
      </c>
      <c r="F20" s="2" t="n">
        <v>1</v>
      </c>
      <c r="G20" s="2" t="inlineStr">
        <is>
          <t>optimization</t>
        </is>
      </c>
      <c r="H20" s="2" t="inlineStr">
        <is>
          <t>Synthesis of nanocrystalline materials with tailored microstructures, Mechanics of nanostructured metal and alloy films, MEMS for in situ materials testing, Polymer based micro devices for cell mechanics and biohybrid platforms</t>
        </is>
      </c>
      <c r="I20" s="2" t="inlineStr">
        <is>
          <t>Thin Film Materials, Materials Science, Mechanical Engineering</t>
        </is>
      </c>
      <c r="J20" s="2" t="inlineStr">
        <is>
          <t>Rajagopalan's research focuses on the mechanics of nanoscale materials, cells and biological systems.</t>
        </is>
      </c>
      <c r="K20" s="2" t="b">
        <v>1</v>
      </c>
      <c r="L20" s="2" t="inlineStr">
        <is>
          <t>ClqRIhIAAAAJ</t>
        </is>
      </c>
      <c r="M20" s="3">
        <f>HYPERLINK("https://search.asu.edu/profile/jrajago1", "https://search.asu.edu/profile/jrajago1")</f>
        <v/>
      </c>
      <c r="N20" s="3">
        <f>HYPERLINK("https://scholar.google.com/citations?hl=en&amp;user=ClqRIhIAAAAJ", "Scholar (ClqRIhIAAAAJ)")</f>
        <v/>
      </c>
      <c r="O20" s="3">
        <f>HYPERLINK("https://faculty.engineering.asu.edu/directory/semte/aerospace-and-mechanical-engineering/", "https://faculty.engineering.asu.edu/directory/semte/aerospace-and-mechanical-engineering/")</f>
        <v/>
      </c>
    </row>
    <row r="21">
      <c r="A21" s="2" t="inlineStr">
        <is>
          <t>Jay Oswald</t>
        </is>
      </c>
      <c r="B21" s="2" t="inlineStr">
        <is>
          <t>Associate Professor</t>
        </is>
      </c>
      <c r="C21" s="2" t="inlineStr">
        <is>
          <t>Aerospace &amp; Mechanical Engineering</t>
        </is>
      </c>
      <c r="D21" s="2" t="inlineStr">
        <is>
          <t>Arizona State University</t>
        </is>
      </c>
      <c r="E21" s="3">
        <f>HYPERLINK("mailto:joswald1@asu.edu", "joswald1@asu.edu")</f>
        <v/>
      </c>
      <c r="F21" s="2" t="n">
        <v>1</v>
      </c>
      <c r="G21" s="2" t="inlineStr">
        <is>
          <t>finite element</t>
        </is>
      </c>
      <c r="H21" s="2" t="inlineStr">
        <is>
          <t>Development of computational mechanics: finite element methods, molecular dynamics, multiscale methods, failure analysis, and material design.</t>
        </is>
      </c>
      <c r="I21" s="2" t="inlineStr"/>
      <c r="J21" s="2" t="inlineStr">
        <is>
          <t>Dr. Oswald develops computational and AI-driven methods for advanced manufacturing, including laser welding, automated inspection, robotics, and computational mechanics.</t>
        </is>
      </c>
      <c r="K21" s="2" t="b">
        <v>1</v>
      </c>
      <c r="L21" s="2" t="inlineStr"/>
      <c r="M21" s="3">
        <f>HYPERLINK("https://search.asu.edu/profile/joswald1", "https://search.asu.edu/profile/joswald1")</f>
        <v/>
      </c>
      <c r="N21" s="3">
        <f>HYPERLINK("https://scholar.google.com/citations?view_op=search_authors&amp;mauthors=Jay%20Oswald%20Arizona%20State%20University", "Google Scholar Search")</f>
        <v/>
      </c>
      <c r="O21" s="3">
        <f>HYPERLINK("https://faculty.engineering.asu.edu/directory/semte/aerospace-and-mechanical-engineering/", "https://faculty.engineering.asu.edu/directory/semte/aerospace-and-mechanical-engineering/")</f>
        <v/>
      </c>
    </row>
    <row r="22">
      <c r="A22" s="2" t="inlineStr">
        <is>
          <t>Kunal Garg</t>
        </is>
      </c>
      <c r="B22" s="2" t="inlineStr">
        <is>
          <t>Assistant Professor</t>
        </is>
      </c>
      <c r="C22" s="2" t="inlineStr">
        <is>
          <t>Aerospace &amp; Mechanical Engineering</t>
        </is>
      </c>
      <c r="D22" s="2" t="inlineStr">
        <is>
          <t>Arizona State University</t>
        </is>
      </c>
      <c r="E22" s="3">
        <f>HYPERLINK("mailto:kgarg24@asu.edu", "kgarg24@asu.edu")</f>
        <v/>
      </c>
      <c r="F22" s="2" t="n">
        <v>1</v>
      </c>
      <c r="G22" s="2" t="inlineStr">
        <is>
          <t>optimization</t>
        </is>
      </c>
      <c r="H22" s="2" t="inlineStr">
        <is>
          <t>Distributed multi-agent motion planning and control, Provably safe control design using machine learning-based certificates, Foundation models in complex robotic tasks, Failure prediction from limited demonstrations, Human-robot interaction.</t>
        </is>
      </c>
      <c r="I22" s="2" t="inlineStr">
        <is>
          <t>Control Systems, Dynamical Systems, Machine Learning, Nonlinear Dynamical Systems, Robotics</t>
        </is>
      </c>
      <c r="J22" s="2" t="inlineStr">
        <is>
          <t>Garg's research interests include control synthesis for multi-agent coordination using control theory and machine learning.</t>
        </is>
      </c>
      <c r="K22" s="2" t="b">
        <v>1</v>
      </c>
      <c r="L22" s="2" t="inlineStr">
        <is>
          <t>vs3pl-8AAAAJ</t>
        </is>
      </c>
      <c r="M22" s="3">
        <f>HYPERLINK("https://search.asu.edu/profile/kgarg24", "https://search.asu.edu/profile/kgarg24")</f>
        <v/>
      </c>
      <c r="N22" s="3">
        <f>HYPERLINK("https://scholar.google.com/citations?hl=en&amp;user=vs3pl-8AAAAJ", "Scholar (vs3pl-8AAAAJ)")</f>
        <v/>
      </c>
      <c r="O22" s="3">
        <f>HYPERLINK("https://faculty.engineering.asu.edu/directory/semte/aerospace-and-mechanical-engineering/", "https://faculty.engineering.asu.edu/directory/semte/aerospace-and-mechanical-engineering/")</f>
        <v/>
      </c>
    </row>
    <row r="23">
      <c r="A23" s="2" t="inlineStr">
        <is>
          <t>Liping Wang</t>
        </is>
      </c>
      <c r="B23" s="2" t="inlineStr">
        <is>
          <t>Associate Professor</t>
        </is>
      </c>
      <c r="C23" s="2" t="inlineStr">
        <is>
          <t>Aerospace &amp; Mechanical Engineering</t>
        </is>
      </c>
      <c r="D23" s="2" t="inlineStr">
        <is>
          <t>Arizona State University</t>
        </is>
      </c>
      <c r="E23" s="3">
        <f>HYPERLINK("mailto:Liping.Wang@asu.edu", "Liping.Wang@asu.edu")</f>
        <v/>
      </c>
      <c r="F23" s="2" t="n">
        <v>1</v>
      </c>
      <c r="G23" s="2" t="inlineStr">
        <is>
          <t>heat transfer</t>
        </is>
      </c>
      <c r="H2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23" s="2" t="inlineStr"/>
      <c r="J23" s="2" t="inlineStr">
        <is>
          <t>Wang research interests include selective control of thermal emission/absorption using meta-materials for energy harvesting and near-field radiation heat transfer enhancement between meta-materials for thermophotovoltaics.</t>
        </is>
      </c>
      <c r="K23" s="2" t="b">
        <v>1</v>
      </c>
      <c r="L23" s="2" t="inlineStr"/>
      <c r="M23" s="3">
        <f>HYPERLINK("https://search.asu.edu/profile/lwang78", "https://search.asu.edu/profile/lwang78")</f>
        <v/>
      </c>
      <c r="N23" s="3">
        <f>HYPERLINK("https://scholar.google.com/citations?view_op=search_authors&amp;mauthors=Liping%20Wang%20Arizona%20State%20University", "Google Scholar Search")</f>
        <v/>
      </c>
      <c r="O23" s="3">
        <f>HYPERLINK("https://faculty.engineering.asu.edu/directory/semte/aerospace-and-mechanical-engineering/", "https://faculty.engineering.asu.edu/directory/semte/aerospace-and-mechanical-engineering/")</f>
        <v/>
      </c>
    </row>
    <row r="24">
      <c r="A24" s="2" t="inlineStr">
        <is>
          <t>Matthew Peet</t>
        </is>
      </c>
      <c r="B24" s="2" t="inlineStr">
        <is>
          <t>Associate Professor</t>
        </is>
      </c>
      <c r="C24" s="2" t="inlineStr">
        <is>
          <t>Aerospace &amp; Mechanical Engineering</t>
        </is>
      </c>
      <c r="D24" s="2" t="inlineStr">
        <is>
          <t>Arizona State University</t>
        </is>
      </c>
      <c r="E24" s="3">
        <f>HYPERLINK("mailto:mpeet@asu.edu", "mpeet@asu.edu")</f>
        <v/>
      </c>
      <c r="F24" s="2" t="n">
        <v>1</v>
      </c>
      <c r="G24" s="2" t="inlineStr">
        <is>
          <t>optimization</t>
        </is>
      </c>
      <c r="H24"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24" s="2" t="inlineStr">
        <is>
          <t>Control Systems, Dynamical Systems Theory, Aerospace Engineering, Algorithm Development, Dynamical Systems, Nonlinear Dynamical Systems, Mathematical and System Dynamics Modeling, Immunology</t>
        </is>
      </c>
      <c r="J24" s="2" t="inlineStr">
        <is>
          <t>Peet's current research interests are in the role of computation as it is applied to the understanding and control of complex and large-scale systems.</t>
        </is>
      </c>
      <c r="K24" s="2" t="b">
        <v>1</v>
      </c>
      <c r="L24" s="2" t="inlineStr"/>
      <c r="M24" s="3">
        <f>HYPERLINK("https://search.asu.edu/profile/mpeet", "https://search.asu.edu/profile/mpeet")</f>
        <v/>
      </c>
      <c r="N24" s="3">
        <f>HYPERLINK("https://scholar.google.com/citations?view_op=search_authors&amp;mauthors=Matthew%20Peet%20Arizona%20State%20University", "Google Scholar Search")</f>
        <v/>
      </c>
      <c r="O24" s="3">
        <f>HYPERLINK("https://faculty.engineering.asu.edu/directory/semte/aerospace-and-mechanical-engineering/", "https://faculty.engineering.asu.edu/directory/semte/aerospace-and-mechanical-engineering/")</f>
        <v/>
      </c>
    </row>
    <row r="25">
      <c r="A25" s="2" t="inlineStr">
        <is>
          <t>Minglei Qu</t>
        </is>
      </c>
      <c r="B25" s="2" t="inlineStr">
        <is>
          <t>Assistant Professor</t>
        </is>
      </c>
      <c r="C25" s="2" t="inlineStr">
        <is>
          <t>Aerospace &amp; Mechanical Engineering</t>
        </is>
      </c>
      <c r="D25" s="2" t="inlineStr">
        <is>
          <t>Arizona State University</t>
        </is>
      </c>
      <c r="E25" s="3">
        <f>HYPERLINK("mailto:minglei.qu@asu.edu", "minglei.qu@asu.edu")</f>
        <v/>
      </c>
      <c r="F25" s="2" t="n">
        <v>1</v>
      </c>
      <c r="G25" s="2" t="inlineStr">
        <is>
          <t>instability</t>
        </is>
      </c>
      <c r="H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25" s="2" t="inlineStr"/>
      <c r="J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25" s="2" t="b">
        <v>1</v>
      </c>
      <c r="L25" s="2" t="inlineStr">
        <is>
          <t>9LWNC50AAAAJ</t>
        </is>
      </c>
      <c r="M25" s="3">
        <f>HYPERLINK("https://search.asu.edu/profile/mingleiq", "https://search.asu.edu/profile/mingleiq")</f>
        <v/>
      </c>
      <c r="N25" s="3">
        <f>HYPERLINK("https://scholar.google.com/citations?hl=en&amp;user=9LWNC50AAAAJ", "Scholar (9LWNC50AAAAJ)")</f>
        <v/>
      </c>
      <c r="O25" s="3">
        <f>HYPERLINK("https://faculty.engineering.asu.edu/directory/semte/aerospace-and-mechanical-engineering/", "https://faculty.engineering.asu.edu/directory/semte/aerospace-and-mechanical-engineering/")</f>
        <v/>
      </c>
    </row>
    <row r="26">
      <c r="A26" s="2" t="inlineStr">
        <is>
          <t>Robert Wang</t>
        </is>
      </c>
      <c r="B26" s="2" t="inlineStr">
        <is>
          <t>Associate Professor</t>
        </is>
      </c>
      <c r="C26" s="2" t="inlineStr">
        <is>
          <t>Aerospace &amp; Mechanical Engineering</t>
        </is>
      </c>
      <c r="D26" s="2" t="inlineStr">
        <is>
          <t>Arizona State University</t>
        </is>
      </c>
      <c r="E26" s="3">
        <f>HYPERLINK("mailto:rywang@asu.edu", "rywang@asu.edu")</f>
        <v/>
      </c>
      <c r="F26" s="2" t="n">
        <v>1</v>
      </c>
      <c r="G26" s="2" t="inlineStr">
        <is>
          <t>heat transfer</t>
        </is>
      </c>
      <c r="H2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2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26" s="2" t="inlineStr">
        <is>
          <t>Wang's research interests include thermal energy conversion, storage, and transport in nanostructured materials; thermoelectric power generation; thermal storage media; heat transfer, and phonon optics</t>
        </is>
      </c>
      <c r="K26" s="2" t="b">
        <v>1</v>
      </c>
      <c r="L26" s="2" t="inlineStr">
        <is>
          <t>LaUdx9gAAAAJ</t>
        </is>
      </c>
      <c r="M26" s="3">
        <f>HYPERLINK("https://search.asu.edu/profile/rywang", "https://search.asu.edu/profile/rywang")</f>
        <v/>
      </c>
      <c r="N26" s="3">
        <f>HYPERLINK("https://scholar.google.com/citations?hl=en&amp;user=LaUdx9gAAAAJ", "Scholar (LaUdx9gAAAAJ)")</f>
        <v/>
      </c>
      <c r="O26" s="3">
        <f>HYPERLINK("https://faculty.engineering.asu.edu/directory/semte/aerospace-and-mechanical-engineering/", "https://faculty.engineering.asu.edu/directory/semte/aerospace-and-mechanical-engineering/")</f>
        <v/>
      </c>
    </row>
    <row r="27">
      <c r="A27" s="2" t="inlineStr">
        <is>
          <t>Ronald Calhoun</t>
        </is>
      </c>
      <c r="B27" s="2" t="inlineStr">
        <is>
          <t>Associate Professor</t>
        </is>
      </c>
      <c r="C27" s="2" t="inlineStr">
        <is>
          <t>Aerospace &amp; Mechanical Engineering</t>
        </is>
      </c>
      <c r="D27" s="2" t="inlineStr">
        <is>
          <t>Arizona State University</t>
        </is>
      </c>
      <c r="E27" s="3">
        <f>HYPERLINK("mailto:Ronald.Calhoun@asu.edu", "Ronald.Calhoun@asu.edu")</f>
        <v/>
      </c>
      <c r="F27" s="2" t="n">
        <v>1</v>
      </c>
      <c r="G27" s="2" t="inlineStr">
        <is>
          <t>fluid dynamics</t>
        </is>
      </c>
      <c r="H27" s="2" t="inlineStr"/>
      <c r="I27" s="2" t="inlineStr"/>
      <c r="J27" s="2" t="inlineStr">
        <is>
          <t>Calhoun’s research interests are in fluid dynamics; atmospheric sciences; boundary layer; wind energy and remote sensing.</t>
        </is>
      </c>
      <c r="K27" s="2" t="b">
        <v>1</v>
      </c>
      <c r="L27" s="2" t="inlineStr"/>
      <c r="M27" s="3">
        <f>HYPERLINK("https://search.asu.edu/profile/rcalhou", "https://search.asu.edu/profile/rcalhou")</f>
        <v/>
      </c>
      <c r="N27" s="3">
        <f>HYPERLINK("https://scholar.google.com/citations?view_op=search_authors&amp;mauthors=Ronald%20Calhoun%20Arizona%20State%20University", "Google Scholar Search")</f>
        <v/>
      </c>
      <c r="O27" s="3">
        <f>HYPERLINK("https://faculty.engineering.asu.edu/directory/semte/aerospace-and-mechanical-engineering/", "https://faculty.engineering.asu.edu/directory/semte/aerospace-and-mechanical-engineering/")</f>
        <v/>
      </c>
    </row>
    <row r="28">
      <c r="A28" s="2" t="inlineStr">
        <is>
          <t>Spring Berman</t>
        </is>
      </c>
      <c r="B28" s="2" t="inlineStr">
        <is>
          <t>Professor</t>
        </is>
      </c>
      <c r="C28" s="2" t="inlineStr">
        <is>
          <t>Aerospace &amp; Mechanical Engineering</t>
        </is>
      </c>
      <c r="D28" s="2" t="inlineStr">
        <is>
          <t>Arizona State University</t>
        </is>
      </c>
      <c r="E28" s="3">
        <f>HYPERLINK("mailto:Spring.Berman@asu.edu", "Spring.Berman@asu.edu")</f>
        <v/>
      </c>
      <c r="F28" s="2" t="n">
        <v>1</v>
      </c>
      <c r="G28" s="2" t="inlineStr">
        <is>
          <t>optimization</t>
        </is>
      </c>
      <c r="H28" s="2" t="inlineStr">
        <is>
          <t>Modeling, analysis, control, and optimization of multi-robot systems including robotic swarms; analysis of collective behaviors in biology and biologically-inspired control of distributed systems</t>
        </is>
      </c>
      <c r="I28" s="2" t="inlineStr">
        <is>
          <t>Systems and Control Theory, Mechanical Engineering, Autonomous Technologies, Robotics</t>
        </is>
      </c>
      <c r="J28" s="2" t="inlineStr">
        <is>
          <t>Dr. Berman directs the Autonomous Collective Systems Laboratory at ASU, which models and analyzes behaviors in biological and engineered collectives and designs control strategies for multi-robot systems.</t>
        </is>
      </c>
      <c r="K28" s="2" t="b">
        <v>1</v>
      </c>
      <c r="L28" s="2" t="inlineStr">
        <is>
          <t>KKup0OgAAAAJ</t>
        </is>
      </c>
      <c r="M28" s="3">
        <f>HYPERLINK("https://search.asu.edu/profile/smberma2", "https://search.asu.edu/profile/smberma2")</f>
        <v/>
      </c>
      <c r="N28" s="3">
        <f>HYPERLINK("https://scholar.google.com/citations?hl=en&amp;user=KKup0OgAAAAJ", "Scholar (KKup0OgAAAAJ)")</f>
        <v/>
      </c>
      <c r="O28" s="3">
        <f>HYPERLINK("https://faculty.engineering.asu.edu/directory/semte/aerospace-and-mechanical-engineering/", "https://faculty.engineering.asu.edu/directory/semte/aerospace-and-mechanical-engineering/")</f>
        <v/>
      </c>
    </row>
    <row r="29">
      <c r="A29" s="2" t="inlineStr">
        <is>
          <t>Tianyu Yang</t>
        </is>
      </c>
      <c r="B29" s="2" t="inlineStr">
        <is>
          <t>Assistant Professor</t>
        </is>
      </c>
      <c r="C29" s="2" t="inlineStr">
        <is>
          <t>Aerospace &amp; Mechanical Engineering</t>
        </is>
      </c>
      <c r="D29" s="2" t="inlineStr">
        <is>
          <t>Arizona State University</t>
        </is>
      </c>
      <c r="E29" s="3">
        <f>HYPERLINK("mailto:Tianyu.Yang@asu.edu", "Tianyu.Yang@asu.edu")</f>
        <v/>
      </c>
      <c r="F29" s="2" t="n">
        <v>1</v>
      </c>
      <c r="G29" s="2" t="inlineStr">
        <is>
          <t>heat transfer</t>
        </is>
      </c>
      <c r="H29" s="2" t="inlineStr"/>
      <c r="I29" s="2" t="inlineStr"/>
      <c r="J29" s="2" t="inlineStr">
        <is>
          <t>Yang studies heat transfer, thermal management of electronics, and biomedical devices. She has published multiple research papers in major scientific journals.</t>
        </is>
      </c>
      <c r="K29" s="2" t="b">
        <v>1</v>
      </c>
      <c r="L29" s="2" t="inlineStr"/>
      <c r="M29" s="3">
        <f>HYPERLINK("https://search.asu.edu/profile/tyang123", "https://search.asu.edu/profile/tyang123")</f>
        <v/>
      </c>
      <c r="N29" s="3">
        <f>HYPERLINK("https://scholar.google.com/citations?view_op=search_authors&amp;mauthors=Tianyu%20Yang%20Arizona%20State%20University", "Google Scholar Search")</f>
        <v/>
      </c>
      <c r="O29" s="3">
        <f>HYPERLINK("https://faculty.engineering.asu.edu/directory/semte/aerospace-and-mechanical-engineering/", "https://faculty.engineering.asu.edu/directory/semte/aerospace-and-mechanical-engineering/")</f>
        <v/>
      </c>
    </row>
    <row r="30">
      <c r="A30" s="2" t="inlineStr">
        <is>
          <t>Yi Ren</t>
        </is>
      </c>
      <c r="B30" s="2" t="inlineStr">
        <is>
          <t>Associate Professor</t>
        </is>
      </c>
      <c r="C30" s="2" t="inlineStr">
        <is>
          <t>Aerospace &amp; Mechanical Engineering</t>
        </is>
      </c>
      <c r="D30" s="2" t="inlineStr">
        <is>
          <t>Arizona State University</t>
        </is>
      </c>
      <c r="E30" s="3">
        <f>HYPERLINK("mailto:yiren@asu.edu", "yiren@asu.edu")</f>
        <v/>
      </c>
      <c r="F30" s="2" t="n">
        <v>1</v>
      </c>
      <c r="G30" s="2" t="inlineStr">
        <is>
          <t>optimization</t>
        </is>
      </c>
      <c r="H30" s="2" t="inlineStr"/>
      <c r="I30" s="2" t="inlineStr"/>
      <c r="J30" s="2" t="inlineStr">
        <is>
          <t>Ren’s current research interests include optimization, product/configuration design, human-computer interaction and machine learning.</t>
        </is>
      </c>
      <c r="K30" s="2" t="b">
        <v>1</v>
      </c>
      <c r="L30" s="2" t="inlineStr"/>
      <c r="M30" s="3">
        <f>HYPERLINK("https://search.asu.edu/profile/yren32", "https://search.asu.edu/profile/yren32")</f>
        <v/>
      </c>
      <c r="N30" s="3">
        <f>HYPERLINK("https://scholar.google.com/citations?view_op=search_authors&amp;mauthors=Yi%20Ren%20Arizona%20State%20University", "Google Scholar Search")</f>
        <v/>
      </c>
      <c r="O30" s="3">
        <f>HYPERLINK("https://faculty.engineering.asu.edu/directory/semte/aerospace-and-mechanical-engineering/", "https://faculty.engineering.asu.edu/directory/semte/aerospace-and-mechanical-engineering/")</f>
        <v/>
      </c>
    </row>
    <row r="31">
      <c r="A31" s="2" t="inlineStr">
        <is>
          <t>Yongming Liu</t>
        </is>
      </c>
      <c r="B31" s="2" t="inlineStr">
        <is>
          <t>Professor</t>
        </is>
      </c>
      <c r="C31" s="2" t="inlineStr">
        <is>
          <t>Aerospace &amp; Mechanical Engineering</t>
        </is>
      </c>
      <c r="D31" s="2" t="inlineStr">
        <is>
          <t>Arizona State University</t>
        </is>
      </c>
      <c r="E31" s="3">
        <f>HYPERLINK("mailto:Yongming.Liu@asu.edu", "Yongming.Liu@asu.edu")</f>
        <v/>
      </c>
      <c r="F31" s="2" t="n">
        <v>1</v>
      </c>
      <c r="G31" s="2" t="inlineStr">
        <is>
          <t>uncertainty quantification</t>
        </is>
      </c>
      <c r="H31"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1" s="2" t="inlineStr"/>
      <c r="J31" s="2" t="inlineStr">
        <is>
          <t>Liu heads the Prognostic Analysis and Reliability Assessment Laboratory (PARA). He joined ASU in 2012.</t>
        </is>
      </c>
      <c r="K31" s="2" t="b">
        <v>1</v>
      </c>
      <c r="L31" s="2" t="inlineStr"/>
      <c r="M31" s="3">
        <f>HYPERLINK("https://search.asu.edu/profile/yliu35", "https://search.asu.edu/profile/yliu35")</f>
        <v/>
      </c>
      <c r="N31" s="3">
        <f>HYPERLINK("https://scholar.google.com/citations?view_op=search_authors&amp;mauthors=Yongming%20Liu%20Arizona%20State%20University", "Google Scholar Search")</f>
        <v/>
      </c>
      <c r="O31" s="3">
        <f>HYPERLINK("https://faculty.engineering.asu.edu/directory/semte/aerospace-and-mechanical-engineering/", "https://faculty.engineering.asu.edu/directory/semte/aerospace-and-mechanical-engineering/")</f>
        <v/>
      </c>
    </row>
    <row r="32">
      <c r="A32" s="2" t="inlineStr">
        <is>
          <t>Aikaterini Stefanaki</t>
        </is>
      </c>
      <c r="B32" s="2" t="inlineStr">
        <is>
          <t>Associate Teaching Professor</t>
        </is>
      </c>
      <c r="C32" s="2" t="inlineStr">
        <is>
          <t>Aerospace &amp; Mechanical Engineering</t>
        </is>
      </c>
      <c r="D32" s="2" t="inlineStr">
        <is>
          <t>Arizona State University</t>
        </is>
      </c>
      <c r="E32" s="3">
        <f>HYPERLINK("mailto:astefan9@asu.edu", "astefan9@asu.edu")</f>
        <v/>
      </c>
      <c r="F32" s="2" t="n">
        <v>0</v>
      </c>
      <c r="G32" s="2" t="inlineStr"/>
      <c r="H32" s="2" t="inlineStr"/>
      <c r="I32" s="2" t="inlineStr"/>
      <c r="J32" s="2" t="inlineStr"/>
      <c r="K32" s="2" t="b">
        <v>0</v>
      </c>
      <c r="L32" s="2" t="inlineStr"/>
      <c r="M32" s="3">
        <f>HYPERLINK("https://search.asu.edu/profile/astefan9", "https://search.asu.edu/profile/astefan9")</f>
        <v/>
      </c>
      <c r="N32" s="3">
        <f>HYPERLINK("https://scholar.google.com/citations?view_op=search_authors&amp;mauthors=Aikaterini%20Stefanaki%20Arizona%20State%20University", "Google Scholar Search")</f>
        <v/>
      </c>
      <c r="O32" s="3">
        <f>HYPERLINK("https://faculty.engineering.asu.edu/directory/semte/aerospace-and-mechanical-engineering/", "https://faculty.engineering.asu.edu/directory/semte/aerospace-and-mechanical-engineering/")</f>
        <v/>
      </c>
    </row>
    <row r="33">
      <c r="A33" s="2" t="inlineStr">
        <is>
          <t>Cindy (Xiangjia) Li</t>
        </is>
      </c>
      <c r="B33" s="2" t="inlineStr">
        <is>
          <t>Associate Professor</t>
        </is>
      </c>
      <c r="C33" s="2" t="inlineStr">
        <is>
          <t>Aerospace &amp; Mechanical Engineering</t>
        </is>
      </c>
      <c r="D33" s="2" t="inlineStr">
        <is>
          <t>Arizona State University</t>
        </is>
      </c>
      <c r="E33" s="3">
        <f>HYPERLINK("mailto:xiangjia.li@asu.edu", "xiangjia.li@asu.edu")</f>
        <v/>
      </c>
      <c r="F33" s="2" t="n">
        <v>0</v>
      </c>
      <c r="G33" s="2" t="inlineStr"/>
      <c r="H33"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I33" s="2" t="inlineStr">
        <is>
          <t>Ceramic Technology, Mechanics of Composite Materials, Mechanical Engineering, Biomimicry, 3D Printing, Additive Manufacturing, Manufacturing Engineering</t>
        </is>
      </c>
      <c r="J33" s="2" t="inlineStr">
        <is>
          <t>Xiangjia (Cindy) Li is an Associate Professor at Arizona State University. Her research focuses on multiscale, multimaterial additive manufacturing and bioinspired design for functional materials and devices.</t>
        </is>
      </c>
      <c r="K33" s="2" t="b">
        <v>0</v>
      </c>
      <c r="L33" s="2" t="inlineStr">
        <is>
          <t>tGQzHJIAAAAJ</t>
        </is>
      </c>
      <c r="M33" s="3">
        <f>HYPERLINK("https://search.asu.edu/profile/xiangji5", "https://search.asu.edu/profile/xiangji5")</f>
        <v/>
      </c>
      <c r="N33" s="3">
        <f>HYPERLINK("https://scholar.google.com/citations?hl=en&amp;user=tGQzHJIAAAAJ", "Scholar (tGQzHJIAAAAJ)")</f>
        <v/>
      </c>
      <c r="O33" s="3">
        <f>HYPERLINK("https://faculty.engineering.asu.edu/directory/semte/aerospace-and-mechanical-engineering/", "https://faculty.engineering.asu.edu/directory/semte/aerospace-and-mechanical-engineering/")</f>
        <v/>
      </c>
    </row>
    <row r="34">
      <c r="A34" s="2" t="inlineStr">
        <is>
          <t>Derrick Speaks</t>
        </is>
      </c>
      <c r="B34" s="2" t="inlineStr">
        <is>
          <t>Assistant Teaching Professor</t>
        </is>
      </c>
      <c r="C34" s="2" t="inlineStr">
        <is>
          <t>Aerospace &amp; Mechanical Engineering</t>
        </is>
      </c>
      <c r="D34" s="2" t="inlineStr">
        <is>
          <t>Arizona State University</t>
        </is>
      </c>
      <c r="E34" s="3">
        <f>HYPERLINK("mailto:Derrick.Speaks@asu.edu", "Derrick.Speaks@asu.edu")</f>
        <v/>
      </c>
      <c r="F34" s="2" t="n">
        <v>0</v>
      </c>
      <c r="G34" s="2" t="inlineStr"/>
      <c r="H34" s="2" t="inlineStr"/>
      <c r="I34" s="2" t="inlineStr"/>
      <c r="J34" s="2" t="inlineStr"/>
      <c r="K34" s="2" t="b">
        <v>0</v>
      </c>
      <c r="L34" s="2" t="inlineStr"/>
      <c r="M34" s="3">
        <f>HYPERLINK("https://search.asu.edu/profile/dspeaks2", "https://search.asu.edu/profile/dspeaks2")</f>
        <v/>
      </c>
      <c r="N34" s="3">
        <f>HYPERLINK("https://scholar.google.com/citations?view_op=search_authors&amp;mauthors=Derrick%20Speaks%20Arizona%20State%20University", "Google Scholar Search")</f>
        <v/>
      </c>
      <c r="O34" s="3">
        <f>HYPERLINK("https://faculty.engineering.asu.edu/directory/semte/aerospace-and-mechanical-engineering/", "https://faculty.engineering.asu.edu/directory/semte/aerospace-and-mechanical-engineering/")</f>
        <v/>
      </c>
    </row>
    <row r="35">
      <c r="A35" s="2" t="inlineStr">
        <is>
          <t>Erik Andersen</t>
        </is>
      </c>
      <c r="B35" s="2" t="inlineStr">
        <is>
          <t>Faculty Associate</t>
        </is>
      </c>
      <c r="C35" s="2" t="inlineStr">
        <is>
          <t>Aerospace &amp; Mechanical Engineering</t>
        </is>
      </c>
      <c r="D35" s="2" t="inlineStr">
        <is>
          <t>Arizona State University</t>
        </is>
      </c>
      <c r="E35" s="3">
        <f>HYPERLINK("mailto:Erik.J.Andersen@asu.edu", "Erik.J.Andersen@asu.edu")</f>
        <v/>
      </c>
      <c r="F35" s="2" t="n">
        <v>0</v>
      </c>
      <c r="G35" s="2" t="inlineStr"/>
      <c r="H35" s="2" t="inlineStr"/>
      <c r="I35" s="2" t="inlineStr"/>
      <c r="J35" s="2" t="inlineStr"/>
      <c r="K35" s="2" t="b">
        <v>0</v>
      </c>
      <c r="L35" s="2" t="inlineStr"/>
      <c r="M35" s="3">
        <f>HYPERLINK("https://search.asu.edu/profile/ejande22", "https://search.asu.edu/profile/ejande22")</f>
        <v/>
      </c>
      <c r="N35" s="3">
        <f>HYPERLINK("https://scholar.google.com/citations?view_op=search_authors&amp;mauthors=Erik%20Andersen%20Arizona%20State%20University", "Google Scholar Search")</f>
        <v/>
      </c>
      <c r="O35" s="3">
        <f>HYPERLINK("https://faculty.engineering.asu.edu/directory/semte/aerospace-and-mechanical-engineering/", "https://faculty.engineering.asu.edu/directory/semte/aerospace-and-mechanical-engineering/")</f>
        <v/>
      </c>
    </row>
    <row r="36">
      <c r="A36" s="2" t="inlineStr">
        <is>
          <t>Hamidreza Marvi</t>
        </is>
      </c>
      <c r="B36" s="2" t="inlineStr">
        <is>
          <t>Associate Professor</t>
        </is>
      </c>
      <c r="C36" s="2" t="inlineStr">
        <is>
          <t>Aerospace &amp; Mechanical Engineering</t>
        </is>
      </c>
      <c r="D36" s="2" t="inlineStr">
        <is>
          <t>Arizona State University</t>
        </is>
      </c>
      <c r="E36" s="3">
        <f>HYPERLINK("mailto:hmarvi@asu.edu", "hmarvi@asu.edu")</f>
        <v/>
      </c>
      <c r="F36" s="2" t="n">
        <v>0</v>
      </c>
      <c r="G36" s="2" t="inlineStr"/>
      <c r="H36" s="2" t="inlineStr">
        <is>
          <t>Bio-inspired robotics Soft robotics Magnetic micro-robotics Mechanics of animal locomotion</t>
        </is>
      </c>
      <c r="I36" s="2" t="inlineStr"/>
      <c r="J36" s="2" t="inlineStr">
        <is>
          <t>Marvi would like to develop bio-inspired robotic systems and programmable interfacial structures for search and rescue, exploratory and medical applications.</t>
        </is>
      </c>
      <c r="K36" s="2" t="b">
        <v>0</v>
      </c>
      <c r="L36" s="2" t="inlineStr">
        <is>
          <t>00Fepb0AAAAJ</t>
        </is>
      </c>
      <c r="M36" s="3">
        <f>HYPERLINK("https://search.asu.edu/profile/hmarvi", "https://search.asu.edu/profile/hmarvi")</f>
        <v/>
      </c>
      <c r="N36" s="3">
        <f>HYPERLINK("https://scholar.google.com/citations?hl=en&amp;user=00Fepb0AAAAJ", "Scholar (00Fepb0AAAAJ)")</f>
        <v/>
      </c>
      <c r="O36" s="3">
        <f>HYPERLINK("https://faculty.engineering.asu.edu/directory/semte/aerospace-and-mechanical-engineering/", "https://faculty.engineering.asu.edu/directory/semte/aerospace-and-mechanical-engineering/")</f>
        <v/>
      </c>
    </row>
    <row r="37">
      <c r="A37" s="2" t="inlineStr">
        <is>
          <t>Hyunglae Lee</t>
        </is>
      </c>
      <c r="B37" s="2" t="inlineStr">
        <is>
          <t>Associate Professor</t>
        </is>
      </c>
      <c r="C37" s="2" t="inlineStr">
        <is>
          <t>Aerospace &amp; Mechanical Engineering</t>
        </is>
      </c>
      <c r="D37" s="2" t="inlineStr">
        <is>
          <t>Arizona State University</t>
        </is>
      </c>
      <c r="E37" s="3">
        <f>HYPERLINK("mailto:Hyunglae.Lee@asu.edu", "Hyunglae.Lee@asu.edu")</f>
        <v/>
      </c>
      <c r="F37" s="2" t="n">
        <v>0</v>
      </c>
      <c r="G37" s="2" t="inlineStr"/>
      <c r="H37" s="2" t="inlineStr"/>
      <c r="I37" s="2" t="inlineStr"/>
      <c r="J37" s="2" t="inlineStr">
        <is>
          <t>Lee's research interests include physical human-robot interaction, neuromuscular control of human movement, robot-aided neurorehabilitation, bio-inspired robotics and system identification for physiological systems.</t>
        </is>
      </c>
      <c r="K37" s="2" t="b">
        <v>0</v>
      </c>
      <c r="L37" s="2" t="inlineStr"/>
      <c r="M37" s="3">
        <f>HYPERLINK("https://search.asu.edu/profile/hlee234", "https://search.asu.edu/profile/hlee234")</f>
        <v/>
      </c>
      <c r="N37" s="3">
        <f>HYPERLINK("https://scholar.google.com/citations?view_op=search_authors&amp;mauthors=Hyunglae%20Lee%20Arizona%20State%20University", "Google Scholar Search")</f>
        <v/>
      </c>
      <c r="O37" s="3">
        <f>HYPERLINK("https://faculty.engineering.asu.edu/directory/semte/aerospace-and-mechanical-engineering/", "https://faculty.engineering.asu.edu/directory/semte/aerospace-and-mechanical-engineering/")</f>
        <v/>
      </c>
    </row>
    <row r="38">
      <c r="A38" s="2" t="inlineStr">
        <is>
          <t>Ivy Chang</t>
        </is>
      </c>
      <c r="B38" s="2" t="inlineStr">
        <is>
          <t>Assistant Teaching Professor</t>
        </is>
      </c>
      <c r="C38" s="2" t="inlineStr">
        <is>
          <t>Aerospace &amp; Mechanical Engineering</t>
        </is>
      </c>
      <c r="D38" s="2" t="inlineStr">
        <is>
          <t>Arizona State University</t>
        </is>
      </c>
      <c r="E38" s="3">
        <f>HYPERLINK("mailto:Ivy.Chang@asu.edu", "Ivy.Chang@asu.edu")</f>
        <v/>
      </c>
      <c r="F38" s="2" t="n">
        <v>0</v>
      </c>
      <c r="G38" s="2" t="inlineStr"/>
      <c r="H38" s="2" t="inlineStr"/>
      <c r="I38" s="2" t="inlineStr"/>
      <c r="J38" s="2" t="inlineStr"/>
      <c r="K38" s="2" t="b">
        <v>0</v>
      </c>
      <c r="L38" s="2" t="inlineStr"/>
      <c r="M38" s="3">
        <f>HYPERLINK("https://search.asu.edu/profile/iychang", "https://search.asu.edu/profile/iychang")</f>
        <v/>
      </c>
      <c r="N38" s="3">
        <f>HYPERLINK("https://scholar.google.com/citations?view_op=search_authors&amp;mauthors=Ivy%20Chang%20Arizona%20State%20University", "Google Scholar Search")</f>
        <v/>
      </c>
      <c r="O38" s="3">
        <f>HYPERLINK("https://faculty.engineering.asu.edu/directory/semte/aerospace-and-mechanical-engineering/", "https://faculty.engineering.asu.edu/directory/semte/aerospace-and-mechanical-engineering/")</f>
        <v/>
      </c>
    </row>
    <row r="39">
      <c r="A39" s="2" t="inlineStr">
        <is>
          <t>James Middleton</t>
        </is>
      </c>
      <c r="B39" s="2" t="inlineStr">
        <is>
          <t>Professor</t>
        </is>
      </c>
      <c r="C39" s="2" t="inlineStr">
        <is>
          <t>Aerospace &amp; Mechanical Engineering</t>
        </is>
      </c>
      <c r="D39" s="2" t="inlineStr">
        <is>
          <t>Arizona State University</t>
        </is>
      </c>
      <c r="E39" s="3">
        <f>HYPERLINK("mailto:jimbo@asu.edu", "jimbo@asu.edu")</f>
        <v/>
      </c>
      <c r="F39" s="2" t="n">
        <v>0</v>
      </c>
      <c r="G39" s="2" t="inlineStr"/>
      <c r="H39" s="2" t="inlineStr">
        <is>
          <t>Student learning of mathematical concepts. Motivation and mathematics learning. Teacher change. Applications of technology to mathematics teaching and learning.</t>
        </is>
      </c>
      <c r="I39" s="2" t="inlineStr"/>
      <c r="J39" s="2" t="inlineStr">
        <is>
          <t>Middleton’s research interests focus in the following areas where he has published extensively: children’s mathematical thinking; teacher and student motivation in mathematics; and teacher change in mathematics.</t>
        </is>
      </c>
      <c r="K39" s="2" t="b">
        <v>0</v>
      </c>
      <c r="L39" s="2" t="inlineStr"/>
      <c r="M39" s="3">
        <f>HYPERLINK("https://search.asu.edu/profile/jimbo", "https://search.asu.edu/profile/jimbo")</f>
        <v/>
      </c>
      <c r="N39" s="3">
        <f>HYPERLINK("https://scholar.google.com/citations?view_op=search_authors&amp;mauthors=James%20Middleton%20Arizona%20State%20University", "Google Scholar Search")</f>
        <v/>
      </c>
      <c r="O39" s="3">
        <f>HYPERLINK("https://faculty.engineering.asu.edu/directory/semte/aerospace-and-mechanical-engineering/", "https://faculty.engineering.asu.edu/directory/semte/aerospace-and-mechanical-engineering/")</f>
        <v/>
      </c>
    </row>
    <row r="40">
      <c r="A40" s="2" t="inlineStr">
        <is>
          <t>Jiefeng Sun</t>
        </is>
      </c>
      <c r="B40" s="2" t="inlineStr">
        <is>
          <t>Assistant Professor</t>
        </is>
      </c>
      <c r="C40" s="2" t="inlineStr">
        <is>
          <t>Aerospace &amp; Mechanical Engineering</t>
        </is>
      </c>
      <c r="D40" s="2" t="inlineStr">
        <is>
          <t>Arizona State University</t>
        </is>
      </c>
      <c r="E40" s="3">
        <f>HYPERLINK("mailto:Jiefeng.Sun@asu.edu", "Jiefeng.Sun@asu.edu")</f>
        <v/>
      </c>
      <c r="F40" s="2" t="n">
        <v>0</v>
      </c>
      <c r="G40" s="2" t="inlineStr"/>
      <c r="H40" s="2" t="inlineStr">
        <is>
          <t>Hire students to conduct research https://sunroboticslab.github.io</t>
        </is>
      </c>
      <c r="I40" s="2" t="inlineStr">
        <is>
          <t>Autonomous Technologies, Control Systems, Mechanical Engineering, Robotics</t>
        </is>
      </c>
      <c r="J40" s="2" t="inlineStr">
        <is>
          <t>Sun's research focuses on the design, dynamics, and control of soft robots and artificial muscles</t>
        </is>
      </c>
      <c r="K40" s="2" t="b">
        <v>0</v>
      </c>
      <c r="L40" s="2" t="inlineStr">
        <is>
          <t>fjUoHOsAAAAJ</t>
        </is>
      </c>
      <c r="M40" s="3">
        <f>HYPERLINK("https://search.asu.edu/profile/jsun165", "https://search.asu.edu/profile/jsun165")</f>
        <v/>
      </c>
      <c r="N40" s="3">
        <f>HYPERLINK("https://scholar.google.com/citations?hl=en&amp;user=fjUoHOsAAAAJ", "Scholar (fjUoHOsAAAAJ)")</f>
        <v/>
      </c>
      <c r="O40" s="3">
        <f>HYPERLINK("https://faculty.engineering.asu.edu/directory/semte/aerospace-and-mechanical-engineering/", "https://faculty.engineering.asu.edu/directory/semte/aerospace-and-mechanical-engineering/")</f>
        <v/>
      </c>
    </row>
    <row r="41">
      <c r="A41" s="2" t="inlineStr">
        <is>
          <t>Joshua Wilbur</t>
        </is>
      </c>
      <c r="B41" s="2" t="inlineStr">
        <is>
          <t>Associate Teaching Professor</t>
        </is>
      </c>
      <c r="C41" s="2" t="inlineStr">
        <is>
          <t>Aerospace &amp; Mechanical Engineering</t>
        </is>
      </c>
      <c r="D41" s="2" t="inlineStr">
        <is>
          <t>Arizona State University</t>
        </is>
      </c>
      <c r="E41" s="3">
        <f>HYPERLINK("mailto:Joshua.Wilbur@asu.edu", "Joshua.Wilbur@asu.edu")</f>
        <v/>
      </c>
      <c r="F41" s="2" t="n">
        <v>0</v>
      </c>
      <c r="G41" s="2" t="inlineStr"/>
      <c r="H41" s="2" t="inlineStr"/>
      <c r="I41" s="2" t="inlineStr"/>
      <c r="J41" s="2" t="inlineStr"/>
      <c r="K41" s="2" t="b">
        <v>0</v>
      </c>
      <c r="L41" s="2" t="inlineStr"/>
      <c r="M41" s="3">
        <f>HYPERLINK("https://search.asu.edu/profile/jdwilbu1", "https://search.asu.edu/profile/jdwilbu1")</f>
        <v/>
      </c>
      <c r="N41" s="3">
        <f>HYPERLINK("https://scholar.google.com/citations?view_op=search_authors&amp;mauthors=Joshua%20Wilbur%20Arizona%20State%20University", "Google Scholar Search")</f>
        <v/>
      </c>
      <c r="O41" s="3">
        <f>HYPERLINK("https://faculty.engineering.asu.edu/directory/semte/aerospace-and-mechanical-engineering/", "https://faculty.engineering.asu.edu/directory/semte/aerospace-and-mechanical-engineering/")</f>
        <v/>
      </c>
    </row>
    <row r="42">
      <c r="A42" s="2" t="inlineStr">
        <is>
          <t>Konrad Rykaczewski</t>
        </is>
      </c>
      <c r="B42" s="2" t="inlineStr">
        <is>
          <t>Associate Professor</t>
        </is>
      </c>
      <c r="C42" s="2" t="inlineStr">
        <is>
          <t>Aerospace &amp; Mechanical Engineering</t>
        </is>
      </c>
      <c r="D42" s="2" t="inlineStr">
        <is>
          <t>Arizona State University</t>
        </is>
      </c>
      <c r="E42" s="3">
        <f>HYPERLINK("mailto:konradr@asu.edu", "konradr@asu.edu")</f>
        <v/>
      </c>
      <c r="F42" s="2" t="n">
        <v>0</v>
      </c>
      <c r="G42" s="2" t="inlineStr"/>
      <c r="H42" s="2" t="inlineStr"/>
      <c r="I42" s="2" t="inlineStr"/>
      <c r="J42" s="2" t="inlineStr">
        <is>
          <t>Rykaczewski's research focuses on development of soft thermal materials and system as well as studying human thermal exposure in extreme heat.</t>
        </is>
      </c>
      <c r="K42" s="2" t="b">
        <v>0</v>
      </c>
      <c r="L42" s="2" t="inlineStr">
        <is>
          <t>SWeAf4UAAAAJ</t>
        </is>
      </c>
      <c r="M42" s="3">
        <f>HYPERLINK("https://search.asu.edu/profile/krykacze", "https://search.asu.edu/profile/krykacze")</f>
        <v/>
      </c>
      <c r="N42" s="3">
        <f>HYPERLINK("https://scholar.google.com/citations?hl=en&amp;user=SWeAf4UAAAAJ", "Scholar (SWeAf4UAAAAJ)")</f>
        <v/>
      </c>
      <c r="O42" s="3">
        <f>HYPERLINK("https://faculty.engineering.asu.edu/directory/semte/aerospace-and-mechanical-engineering/", "https://faculty.engineering.asu.edu/directory/semte/aerospace-and-mechanical-engineering/")</f>
        <v/>
      </c>
    </row>
    <row r="43">
      <c r="A43" s="2" t="inlineStr">
        <is>
          <t>Leila Ladani</t>
        </is>
      </c>
      <c r="B43" s="2" t="inlineStr">
        <is>
          <t>Professor</t>
        </is>
      </c>
      <c r="C43" s="2" t="inlineStr">
        <is>
          <t>Aerospace &amp; Mechanical Engineering</t>
        </is>
      </c>
      <c r="D43" s="2" t="inlineStr">
        <is>
          <t>Arizona State University</t>
        </is>
      </c>
      <c r="E43" s="3">
        <f>HYPERLINK("mailto:ladani@asu.edu", "ladani@asu.edu")</f>
        <v/>
      </c>
      <c r="F43" s="2" t="n">
        <v>0</v>
      </c>
      <c r="G43" s="2" t="inlineStr"/>
      <c r="H43"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I43" s="2" t="inlineStr">
        <is>
          <t>Additive Manufacturing, Manufacturing Engineering</t>
        </is>
      </c>
      <c r="J43" s="2" t="inlineStr">
        <is>
          <t>Dr. Ladani is a Professor of Mechanical and Aerospace Engineering at Arizona State University.</t>
        </is>
      </c>
      <c r="K43" s="2" t="b">
        <v>0</v>
      </c>
      <c r="L43" s="2" t="inlineStr"/>
      <c r="M43" s="3">
        <f>HYPERLINK("https://search.asu.edu/profile/ljannesa", "https://search.asu.edu/profile/ljannesa")</f>
        <v/>
      </c>
      <c r="N43" s="3">
        <f>HYPERLINK("https://scholar.google.com/citations?view_op=search_authors&amp;mauthors=Leila%20Ladani%20Arizona%20State%20University", "Google Scholar Search")</f>
        <v/>
      </c>
      <c r="O43" s="3">
        <f>HYPERLINK("https://faculty.engineering.asu.edu/directory/semte/aerospace-and-mechanical-engineering/", "https://faculty.engineering.asu.edu/directory/semte/aerospace-and-mechanical-engineering/")</f>
        <v/>
      </c>
    </row>
    <row r="44">
      <c r="A44" s="2" t="inlineStr">
        <is>
          <t>Lin Li</t>
        </is>
      </c>
      <c r="B44" s="2" t="inlineStr">
        <is>
          <t>Associate Professor</t>
        </is>
      </c>
      <c r="C44" s="2" t="inlineStr">
        <is>
          <t>Aerospace &amp; Mechanical Engineering</t>
        </is>
      </c>
      <c r="D44" s="2" t="inlineStr">
        <is>
          <t>Arizona State University</t>
        </is>
      </c>
      <c r="E44" s="3">
        <f>HYPERLINK("mailto:Lin.Li.10@asu.edu", "Lin.Li.10@asu.edu")</f>
        <v/>
      </c>
      <c r="F44" s="2" t="n">
        <v>0</v>
      </c>
      <c r="G44" s="2" t="inlineStr"/>
      <c r="H44" s="2" t="inlineStr"/>
      <c r="I44" s="2" t="inlineStr"/>
      <c r="J44" s="2" t="inlineStr">
        <is>
          <t>Li uses multiscale material mechanics models, computational and data tools to explore advanced materials for extreme environments.</t>
        </is>
      </c>
      <c r="K44" s="2" t="b">
        <v>0</v>
      </c>
      <c r="L44" s="2" t="inlineStr"/>
      <c r="M44" s="3">
        <f>HYPERLINK("https://search.asu.edu/profile/linli25", "https://search.asu.edu/profile/linli25")</f>
        <v/>
      </c>
      <c r="N44" s="3">
        <f>HYPERLINK("https://scholar.google.com/citations?view_op=search_authors&amp;mauthors=Lin%20Li%20Arizona%20State%20University", "Google Scholar Search")</f>
        <v/>
      </c>
      <c r="O44" s="3">
        <f>HYPERLINK("https://faculty.engineering.asu.edu/directory/semte/aerospace-and-mechanical-engineering/", "https://faculty.engineering.asu.edu/directory/semte/aerospace-and-mechanical-engineering/")</f>
        <v/>
      </c>
    </row>
    <row r="45">
      <c r="A45" s="2" t="inlineStr">
        <is>
          <t>Marc Mignolet</t>
        </is>
      </c>
      <c r="B45" s="2" t="inlineStr">
        <is>
          <t>Professor</t>
        </is>
      </c>
      <c r="C45" s="2" t="inlineStr">
        <is>
          <t>Aerospace &amp; Mechanical Engineering</t>
        </is>
      </c>
      <c r="D45" s="2" t="inlineStr">
        <is>
          <t>Arizona State University</t>
        </is>
      </c>
      <c r="E45" s="3">
        <f>HYPERLINK("mailto:marc.mignolet@asu.edu", "marc.mignolet@asu.edu")</f>
        <v/>
      </c>
      <c r="F45" s="2" t="n">
        <v>0</v>
      </c>
      <c r="G45" s="2" t="inlineStr"/>
      <c r="H45" s="2" t="inlineStr"/>
      <c r="I45" s="2" t="inlineStr"/>
      <c r="J45" s="2" t="inlineStr">
        <is>
          <t>Mignolet's research interests include structural dynamics, vibrations, modeling of uncertainty in structures and stochastic multiscale analyses.</t>
        </is>
      </c>
      <c r="K45" s="2" t="b">
        <v>0</v>
      </c>
      <c r="L45" s="2" t="inlineStr"/>
      <c r="M45" s="3">
        <f>HYPERLINK("https://search.asu.edu/profile/marc03", "https://search.asu.edu/profile/marc03")</f>
        <v/>
      </c>
      <c r="N45" s="3">
        <f>HYPERLINK("https://scholar.google.com/citations?view_op=search_authors&amp;mauthors=Marc%20Mignolet%20Arizona%20State%20University", "Google Scholar Search")</f>
        <v/>
      </c>
      <c r="O45" s="3">
        <f>HYPERLINK("https://faculty.engineering.asu.edu/directory/semte/aerospace-and-mechanical-engineering/", "https://faculty.engineering.asu.edu/directory/semte/aerospace-and-mechanical-engineering/")</f>
        <v/>
      </c>
    </row>
    <row r="46">
      <c r="A46" s="2" t="inlineStr">
        <is>
          <t>Patrick Phelan</t>
        </is>
      </c>
      <c r="B46" s="2" t="inlineStr">
        <is>
          <t>Professor</t>
        </is>
      </c>
      <c r="C46" s="2" t="inlineStr">
        <is>
          <t>Aerospace &amp; Mechanical Engineering</t>
        </is>
      </c>
      <c r="D46" s="2" t="inlineStr">
        <is>
          <t>Arizona State University</t>
        </is>
      </c>
      <c r="E46" s="3">
        <f>HYPERLINK("mailto:phelan@asu.edu", "phelan@asu.edu")</f>
        <v/>
      </c>
      <c r="F46" s="2" t="n">
        <v>0</v>
      </c>
      <c r="G46" s="2" t="inlineStr"/>
      <c r="H46" s="2" t="inlineStr">
        <is>
          <t>Thermal engineering, sustainable energy systems, energy management, sustainable cooling systems.</t>
        </is>
      </c>
      <c r="I46" s="2" t="inlineStr">
        <is>
          <t>Building Technology, Solar Energy Systems, Energy Efficiency Technologies, Mechanical Engineering</t>
        </is>
      </c>
      <c r="J46" s="2" t="inlineStr">
        <is>
          <t>Phelan researches and teaches in the area of sustainable energy, thermal transport and thermal management.</t>
        </is>
      </c>
      <c r="K46" s="2" t="b">
        <v>0</v>
      </c>
      <c r="L46" s="2" t="inlineStr"/>
      <c r="M46" s="3">
        <f>HYPERLINK("https://search.asu.edu/profile/pphelan", "https://search.asu.edu/profile/pphelan")</f>
        <v/>
      </c>
      <c r="N46" s="3">
        <f>HYPERLINK("https://scholar.google.com/citations?view_op=search_authors&amp;mauthors=Patrick%20Phelan%20Arizona%20State%20University", "Google Scholar Search")</f>
        <v/>
      </c>
      <c r="O46" s="3">
        <f>HYPERLINK("https://faculty.engineering.asu.edu/directory/semte/aerospace-and-mechanical-engineering/", "https://faculty.engineering.asu.edu/directory/semte/aerospace-and-mechanical-engineering/")</f>
        <v/>
      </c>
    </row>
    <row r="47">
      <c r="A47" s="2" t="inlineStr">
        <is>
          <t>Pedro Peralta</t>
        </is>
      </c>
      <c r="B47" s="2" t="inlineStr">
        <is>
          <t>Professor</t>
        </is>
      </c>
      <c r="C47" s="2" t="inlineStr">
        <is>
          <t>Aerospace &amp; Mechanical Engineering</t>
        </is>
      </c>
      <c r="D47" s="2" t="inlineStr">
        <is>
          <t>Arizona State University</t>
        </is>
      </c>
      <c r="E47" s="3">
        <f>HYPERLINK("mailto:pperalta@asu.edu", "pperalta@asu.edu")</f>
        <v/>
      </c>
      <c r="F47" s="2" t="n">
        <v>0</v>
      </c>
      <c r="G47" s="2" t="inlineStr"/>
      <c r="H47" s="2" t="inlineStr"/>
      <c r="I47" s="2" t="inlineStr"/>
      <c r="J47" s="2" t="inlineStr">
        <is>
          <t>Peralta's research focuses on mechanics of materials, fatigue and fracture of metallic alloys, dynamic and shock loading of metallic and intermetallic materials.</t>
        </is>
      </c>
      <c r="K47" s="2" t="b">
        <v>0</v>
      </c>
      <c r="L47" s="2" t="inlineStr"/>
      <c r="M47" s="3">
        <f>HYPERLINK("https://search.asu.edu/profile/pperalta", "https://search.asu.edu/profile/pperalta")</f>
        <v/>
      </c>
      <c r="N47" s="3">
        <f>HYPERLINK("https://scholar.google.com/citations?view_op=search_authors&amp;mauthors=Pedro%20Peralta%20Arizona%20State%20University", "Google Scholar Search")</f>
        <v/>
      </c>
      <c r="O47" s="3">
        <f>HYPERLINK("https://faculty.engineering.asu.edu/directory/semte/aerospace-and-mechanical-engineering/", "https://faculty.engineering.asu.edu/directory/semte/aerospace-and-mechanical-engineering/")</f>
        <v/>
      </c>
    </row>
    <row r="48">
      <c r="A48" s="2" t="inlineStr">
        <is>
          <t>Qiong Nian</t>
        </is>
      </c>
      <c r="B48" s="2" t="inlineStr">
        <is>
          <t>Associate Professor</t>
        </is>
      </c>
      <c r="C48" s="2" t="inlineStr">
        <is>
          <t>Aerospace &amp; Mechanical Engineering</t>
        </is>
      </c>
      <c r="D48" s="2" t="inlineStr">
        <is>
          <t>Arizona State University</t>
        </is>
      </c>
      <c r="E48" s="3">
        <f>HYPERLINK("mailto:Qiong.Nian@asu.edu", "Qiong.Nian@asu.edu")</f>
        <v/>
      </c>
      <c r="F48" s="2" t="n">
        <v>0</v>
      </c>
      <c r="G48" s="2" t="inlineStr"/>
      <c r="H48" s="2" t="inlineStr">
        <is>
          <t>Nanomanufacturing, additive manufacturing, laser-based material processing, laser matter interaction and physics simulation; inkjet printing of functional materials; and 2D materials fabrication for energy storage and bio-sensors.</t>
        </is>
      </c>
      <c r="I48" s="2" t="inlineStr">
        <is>
          <t>Additive Manufacturing, Manufacturing Engineering, Mechanical Engineering</t>
        </is>
      </c>
      <c r="J48" s="2" t="inlineStr">
        <is>
          <t>Nian's research interests include additive manufacturing, laser-based manufacturing and material processing, laser matter interaction and physics simulation, and functional materials for energy storage and bio-sensors.</t>
        </is>
      </c>
      <c r="K48" s="2" t="b">
        <v>0</v>
      </c>
      <c r="L48" s="2" t="inlineStr"/>
      <c r="M48" s="3">
        <f>HYPERLINK("https://search.asu.edu/profile/qnian", "https://search.asu.edu/profile/qnian")</f>
        <v/>
      </c>
      <c r="N48" s="3">
        <f>HYPERLINK("https://scholar.google.com/citations?view_op=search_authors&amp;mauthors=Qiong%20Nian%20Arizona%20State%20University", "Google Scholar Search")</f>
        <v/>
      </c>
      <c r="O48" s="3">
        <f>HYPERLINK("https://faculty.engineering.asu.edu/directory/semte/aerospace-and-mechanical-engineering/", "https://faculty.engineering.asu.edu/directory/semte/aerospace-and-mechanical-engineering/")</f>
        <v/>
      </c>
    </row>
    <row r="49">
      <c r="A49" s="2" t="inlineStr">
        <is>
          <t>Ricardo Cruz Lozano</t>
        </is>
      </c>
      <c r="B49" s="2" t="inlineStr">
        <is>
          <t>Assistant Teaching Professor</t>
        </is>
      </c>
      <c r="C49" s="2" t="inlineStr">
        <is>
          <t>Aerospace &amp; Mechanical Engineering</t>
        </is>
      </c>
      <c r="D49" s="2" t="inlineStr">
        <is>
          <t>Arizona State University</t>
        </is>
      </c>
      <c r="E49" s="3">
        <f>HYPERLINK("mailto:Ricardo.Cruz.Lozano@asu.edu", "Ricardo.Cruz.Lozano@asu.edu")</f>
        <v/>
      </c>
      <c r="F49" s="2" t="n">
        <v>0</v>
      </c>
      <c r="G49" s="2" t="inlineStr"/>
      <c r="H49" s="2" t="inlineStr"/>
      <c r="I49" s="2" t="inlineStr"/>
      <c r="J49" s="2" t="inlineStr"/>
      <c r="K49" s="2" t="b">
        <v>0</v>
      </c>
      <c r="L49" s="2" t="inlineStr"/>
      <c r="M49" s="3">
        <f>HYPERLINK("https://search.asu.edu/profile/rcruzloz", "https://search.asu.edu/profile/rcruzloz")</f>
        <v/>
      </c>
      <c r="N49" s="3">
        <f>HYPERLINK("https://scholar.google.com/citations?view_op=search_authors&amp;mauthors=Ricardo%20Cruz%20Lozano%20Arizona%20State%20University", "Google Scholar Search")</f>
        <v/>
      </c>
      <c r="O49" s="3">
        <f>HYPERLINK("https://faculty.engineering.asu.edu/directory/semte/aerospace-and-mechanical-engineering/", "https://faculty.engineering.asu.edu/directory/semte/aerospace-and-mechanical-engineering/")</f>
        <v/>
      </c>
    </row>
    <row r="50">
      <c r="A50" s="2" t="inlineStr">
        <is>
          <t>Sridhar Seetharaman</t>
        </is>
      </c>
      <c r="B50" s="2" t="inlineStr">
        <is>
          <t>Professor</t>
        </is>
      </c>
      <c r="C50" s="2" t="inlineStr">
        <is>
          <t>Aerospace &amp; Mechanical Engineering</t>
        </is>
      </c>
      <c r="D50" s="2" t="inlineStr">
        <is>
          <t>Arizona State University</t>
        </is>
      </c>
      <c r="E50" s="3">
        <f>HYPERLINK("mailto:seetharaman@asu.edu", "seetharaman@asu.edu")</f>
        <v/>
      </c>
      <c r="F50" s="2" t="n">
        <v>0</v>
      </c>
      <c r="G50" s="2" t="inlineStr"/>
      <c r="H50" s="2" t="inlineStr"/>
      <c r="I50" s="2" t="inlineStr"/>
      <c r="J50" s="2" t="inlineStr">
        <is>
          <t>Seetharaman's is the director of EPIXC. His research and teaching interests lie in metals and ceramics. He is also engaged in developing materials for harsh conditions.</t>
        </is>
      </c>
      <c r="K50" s="2" t="b">
        <v>0</v>
      </c>
      <c r="L50" s="2" t="inlineStr"/>
      <c r="M50" s="3">
        <f>HYPERLINK("https://search.asu.edu/profile/sseeth11", "https://search.asu.edu/profile/sseeth11")</f>
        <v/>
      </c>
      <c r="N50" s="3">
        <f>HYPERLINK("https://scholar.google.com/citations?view_op=search_authors&amp;mauthors=Sridhar%20Seetharaman%20Arizona%20State%20University", "Google Scholar Search")</f>
        <v/>
      </c>
      <c r="O50" s="3">
        <f>HYPERLINK("https://faculty.engineering.asu.edu/directory/semte/aerospace-and-mechanical-engineering/", "https://faculty.engineering.asu.edu/directory/semte/aerospace-and-mechanical-engineering/")</f>
        <v/>
      </c>
    </row>
    <row r="51">
      <c r="A51" s="2" t="inlineStr">
        <is>
          <t>Srinivas Chakravarthi Kosaraju</t>
        </is>
      </c>
      <c r="B51" s="2" t="inlineStr">
        <is>
          <t>Teaching Professor</t>
        </is>
      </c>
      <c r="C51" s="2" t="inlineStr">
        <is>
          <t>Aerospace &amp; Mechanical Engineering</t>
        </is>
      </c>
      <c r="D51" s="2" t="inlineStr">
        <is>
          <t>Arizona State University</t>
        </is>
      </c>
      <c r="E51" s="3">
        <f>HYPERLINK("mailto:Srinivas.Kosaraju@asu.edu", "Srinivas.Kosaraju@asu.edu")</f>
        <v/>
      </c>
      <c r="F51" s="2" t="n">
        <v>0</v>
      </c>
      <c r="G51" s="2" t="inlineStr"/>
      <c r="H51" s="2" t="inlineStr"/>
      <c r="I51" s="2" t="inlineStr"/>
      <c r="J51" s="2" t="inlineStr"/>
      <c r="K51" s="2" t="b">
        <v>0</v>
      </c>
      <c r="L51" s="2" t="inlineStr"/>
      <c r="M51" s="3">
        <f>HYPERLINK("https://search.asu.edu/profile/skosara2", "https://search.asu.edu/profile/skosara2")</f>
        <v/>
      </c>
      <c r="N51" s="3">
        <f>HYPERLINK("https://scholar.google.com/citations?view_op=search_authors&amp;mauthors=Srinivas%20Chakravarthi%20Kosaraju%20Arizona%20State%20University", "Google Scholar Search")</f>
        <v/>
      </c>
      <c r="O51" s="3">
        <f>HYPERLINK("https://faculty.engineering.asu.edu/directory/semte/aerospace-and-mechanical-engineering/", "https://faculty.engineering.asu.edu/directory/semte/aerospace-and-mechanical-engineering/")</f>
        <v/>
      </c>
    </row>
    <row r="52">
      <c r="A52" s="2" t="inlineStr">
        <is>
          <t>Wanxin Jin</t>
        </is>
      </c>
      <c r="B52" s="2" t="inlineStr">
        <is>
          <t>Assistant Professor</t>
        </is>
      </c>
      <c r="C52" s="2" t="inlineStr">
        <is>
          <t>Aerospace &amp; Mechanical Engineering</t>
        </is>
      </c>
      <c r="D52" s="2" t="inlineStr">
        <is>
          <t>Arizona State University</t>
        </is>
      </c>
      <c r="E52" s="3">
        <f>HYPERLINK("mailto:wjin@asu.edu", "wjin@asu.edu")</f>
        <v/>
      </c>
      <c r="F52" s="2" t="n">
        <v>0</v>
      </c>
      <c r="G52" s="2" t="inlineStr"/>
      <c r="H52" s="2" t="inlineStr">
        <is>
          <t>https://irislab.tech/</t>
        </is>
      </c>
      <c r="I52" s="2" t="inlineStr"/>
      <c r="J52" s="2" t="inlineStr">
        <is>
          <t>Jin's research includes robotics, control and machine learning, with a focus on the autonomy of robots interacting with humans and objects.</t>
        </is>
      </c>
      <c r="K52" s="2" t="b">
        <v>0</v>
      </c>
      <c r="L52" s="2" t="inlineStr">
        <is>
          <t>SoEC4h4AAAAJ</t>
        </is>
      </c>
      <c r="M52" s="3">
        <f>HYPERLINK("https://search.asu.edu/profile/wjin34", "https://search.asu.edu/profile/wjin34")</f>
        <v/>
      </c>
      <c r="N52" s="3">
        <f>HYPERLINK("https://scholar.google.com/citations?hl=en&amp;user=SoEC4h4AAAAJ", "Scholar (SoEC4h4AAAAJ)")</f>
        <v/>
      </c>
      <c r="O52" s="3">
        <f>HYPERLINK("https://faculty.engineering.asu.edu/directory/semte/aerospace-and-mechanical-engineering/", "https://faculty.engineering.asu.edu/directory/semte/aerospace-and-mechanical-engineering/")</f>
        <v/>
      </c>
    </row>
    <row r="53">
      <c r="A53" s="2" t="inlineStr">
        <is>
          <t>Wonmo Kang</t>
        </is>
      </c>
      <c r="B53" s="2" t="inlineStr">
        <is>
          <t>Associate Professor</t>
        </is>
      </c>
      <c r="C53" s="2" t="inlineStr">
        <is>
          <t>Aerospace &amp; Mechanical Engineering</t>
        </is>
      </c>
      <c r="D53" s="2" t="inlineStr">
        <is>
          <t>Arizona State University</t>
        </is>
      </c>
      <c r="E53" s="3">
        <f>HYPERLINK("mailto:Wonmo.Kang@asu.edu", "Wonmo.Kang@asu.edu")</f>
        <v/>
      </c>
      <c r="F53" s="2" t="n">
        <v>0</v>
      </c>
      <c r="G53" s="2" t="inlineStr"/>
      <c r="H53" s="2" t="inlineStr">
        <is>
          <t>Mechanics of Composite Materials, Micro and Nanoscale Bioengineering, Nanotechnology, Thin Film Materials</t>
        </is>
      </c>
      <c r="I53" s="2" t="inlineStr">
        <is>
          <t>Mechanics of Composite Materials, Micro and Nanoscale Bioengineering, Nanotechnology, Thin Film Materials</t>
        </is>
      </c>
      <c r="J53" s="2" t="inlineStr">
        <is>
          <t>Kang's current research interests include functional materials for energy/manufacturing applications and biomaterials/biomechanics for injury and wound healing mechanisms.</t>
        </is>
      </c>
      <c r="K53" s="2" t="b">
        <v>0</v>
      </c>
      <c r="L53" s="2" t="inlineStr">
        <is>
          <t>bHyyOTAAAAAJ</t>
        </is>
      </c>
      <c r="M53" s="3">
        <f>HYPERLINK("https://search.asu.edu/profile/wkang16", "https://search.asu.edu/profile/wkang16")</f>
        <v/>
      </c>
      <c r="N53" s="3">
        <f>HYPERLINK("https://scholar.google.com/citations?hl=en&amp;user=bHyyOTAAAAAJ", "Scholar (bHyyOTAAAAAJ)")</f>
        <v/>
      </c>
      <c r="O53" s="3">
        <f>HYPERLINK("https://faculty.engineering.asu.edu/directory/semte/aerospace-and-mechanical-engineering/", "https://faculty.engineering.asu.edu/directory/semte/aerospace-and-mechanical-engineering/")</f>
        <v/>
      </c>
    </row>
    <row r="54">
      <c r="A54" s="2" t="inlineStr">
        <is>
          <t>Zhe Xu</t>
        </is>
      </c>
      <c r="B54" s="2" t="inlineStr">
        <is>
          <t>Assistant Professor</t>
        </is>
      </c>
      <c r="C54" s="2" t="inlineStr">
        <is>
          <t>Aerospace &amp; Mechanical Engineering</t>
        </is>
      </c>
      <c r="D54" s="2" t="inlineStr">
        <is>
          <t>Arizona State University</t>
        </is>
      </c>
      <c r="E54" s="3">
        <f>HYPERLINK("mailto:xzhe1@asu.edu", "xzhe1@asu.edu")</f>
        <v/>
      </c>
      <c r="F54" s="2" t="n">
        <v>0</v>
      </c>
      <c r="G54" s="2" t="inlineStr"/>
      <c r="H54" s="2" t="inlineStr">
        <is>
          <t>The research interests include control theory, machine learning, formal methods and autonomous systems.</t>
        </is>
      </c>
      <c r="I54" s="2" t="inlineStr">
        <is>
          <t>Artificial Intelligence, Control Systems, Electric Power and Energy Systems, Machine Learning, Robotics, Systems and Control Theory</t>
        </is>
      </c>
      <c r="J54" s="2" t="inlineStr">
        <is>
          <t>My research interests include control theory, formal methods, and machine learning (including reinforcement learning), with applications on autonomous systems and cyber-physical systems.</t>
        </is>
      </c>
      <c r="K54" s="2" t="b">
        <v>0</v>
      </c>
      <c r="L54" s="2" t="inlineStr"/>
      <c r="M54" s="3">
        <f>HYPERLINK("https://search.asu.edu/profile/xzhe1", "https://search.asu.edu/profile/xzhe1")</f>
        <v/>
      </c>
      <c r="N54" s="3">
        <f>HYPERLINK("https://scholar.google.com/citations?view_op=search_authors&amp;mauthors=Zhe%20Xu%20Arizona%20State%20University", "Google Scholar Search")</f>
        <v/>
      </c>
      <c r="O54" s="3">
        <f>HYPERLINK("https://faculty.engineering.asu.edu/directory/semte/aerospace-and-mechanical-engineering/", "https://faculty.engineering.asu.edu/directory/semte/aerospace-and-mechanical-engineering/")</f>
        <v/>
      </c>
    </row>
  </sheetData>
  <hyperlinks>
    <hyperlink xmlns:r="http://schemas.openxmlformats.org/officeDocument/2006/relationships" ref="E2" r:id="rId1"/>
    <hyperlink xmlns:r="http://schemas.openxmlformats.org/officeDocument/2006/relationships" ref="M2" r:id="rId2"/>
    <hyperlink xmlns:r="http://schemas.openxmlformats.org/officeDocument/2006/relationships" ref="N2" r:id="rId3"/>
    <hyperlink xmlns:r="http://schemas.openxmlformats.org/officeDocument/2006/relationships" ref="O2" r:id="rId4"/>
    <hyperlink xmlns:r="http://schemas.openxmlformats.org/officeDocument/2006/relationships" ref="E3" r:id="rId5"/>
    <hyperlink xmlns:r="http://schemas.openxmlformats.org/officeDocument/2006/relationships" ref="M3" r:id="rId6"/>
    <hyperlink xmlns:r="http://schemas.openxmlformats.org/officeDocument/2006/relationships" ref="N3" r:id="rId7"/>
    <hyperlink xmlns:r="http://schemas.openxmlformats.org/officeDocument/2006/relationships" ref="O3" r:id="rId8"/>
    <hyperlink xmlns:r="http://schemas.openxmlformats.org/officeDocument/2006/relationships" ref="E4" r:id="rId9"/>
    <hyperlink xmlns:r="http://schemas.openxmlformats.org/officeDocument/2006/relationships" ref="M4" r:id="rId10"/>
    <hyperlink xmlns:r="http://schemas.openxmlformats.org/officeDocument/2006/relationships" ref="N4" r:id="rId11"/>
    <hyperlink xmlns:r="http://schemas.openxmlformats.org/officeDocument/2006/relationships" ref="O4" r:id="rId12"/>
    <hyperlink xmlns:r="http://schemas.openxmlformats.org/officeDocument/2006/relationships" ref="E5" r:id="rId13"/>
    <hyperlink xmlns:r="http://schemas.openxmlformats.org/officeDocument/2006/relationships" ref="M5" r:id="rId14"/>
    <hyperlink xmlns:r="http://schemas.openxmlformats.org/officeDocument/2006/relationships" ref="N5" r:id="rId15"/>
    <hyperlink xmlns:r="http://schemas.openxmlformats.org/officeDocument/2006/relationships" ref="O5" r:id="rId16"/>
    <hyperlink xmlns:r="http://schemas.openxmlformats.org/officeDocument/2006/relationships" ref="E6" r:id="rId17"/>
    <hyperlink xmlns:r="http://schemas.openxmlformats.org/officeDocument/2006/relationships" ref="M6" r:id="rId18"/>
    <hyperlink xmlns:r="http://schemas.openxmlformats.org/officeDocument/2006/relationships" ref="N6" r:id="rId19"/>
    <hyperlink xmlns:r="http://schemas.openxmlformats.org/officeDocument/2006/relationships" ref="O6" r:id="rId20"/>
    <hyperlink xmlns:r="http://schemas.openxmlformats.org/officeDocument/2006/relationships" ref="E7" r:id="rId21"/>
    <hyperlink xmlns:r="http://schemas.openxmlformats.org/officeDocument/2006/relationships" ref="M7" r:id="rId22"/>
    <hyperlink xmlns:r="http://schemas.openxmlformats.org/officeDocument/2006/relationships" ref="N7" r:id="rId23"/>
    <hyperlink xmlns:r="http://schemas.openxmlformats.org/officeDocument/2006/relationships" ref="O7" r:id="rId24"/>
    <hyperlink xmlns:r="http://schemas.openxmlformats.org/officeDocument/2006/relationships" ref="E8" r:id="rId25"/>
    <hyperlink xmlns:r="http://schemas.openxmlformats.org/officeDocument/2006/relationships" ref="M8" r:id="rId26"/>
    <hyperlink xmlns:r="http://schemas.openxmlformats.org/officeDocument/2006/relationships" ref="N8" r:id="rId27"/>
    <hyperlink xmlns:r="http://schemas.openxmlformats.org/officeDocument/2006/relationships" ref="O8" r:id="rId28"/>
    <hyperlink xmlns:r="http://schemas.openxmlformats.org/officeDocument/2006/relationships" ref="E9" r:id="rId29"/>
    <hyperlink xmlns:r="http://schemas.openxmlformats.org/officeDocument/2006/relationships" ref="M9" r:id="rId30"/>
    <hyperlink xmlns:r="http://schemas.openxmlformats.org/officeDocument/2006/relationships" ref="N9" r:id="rId31"/>
    <hyperlink xmlns:r="http://schemas.openxmlformats.org/officeDocument/2006/relationships" ref="O9" r:id="rId32"/>
    <hyperlink xmlns:r="http://schemas.openxmlformats.org/officeDocument/2006/relationships" ref="E10" r:id="rId33"/>
    <hyperlink xmlns:r="http://schemas.openxmlformats.org/officeDocument/2006/relationships" ref="M10" r:id="rId34"/>
    <hyperlink xmlns:r="http://schemas.openxmlformats.org/officeDocument/2006/relationships" ref="N10" r:id="rId35"/>
    <hyperlink xmlns:r="http://schemas.openxmlformats.org/officeDocument/2006/relationships" ref="O10" r:id="rId36"/>
    <hyperlink xmlns:r="http://schemas.openxmlformats.org/officeDocument/2006/relationships" ref="E11" r:id="rId37"/>
    <hyperlink xmlns:r="http://schemas.openxmlformats.org/officeDocument/2006/relationships" ref="M11" r:id="rId38"/>
    <hyperlink xmlns:r="http://schemas.openxmlformats.org/officeDocument/2006/relationships" ref="N11" r:id="rId39"/>
    <hyperlink xmlns:r="http://schemas.openxmlformats.org/officeDocument/2006/relationships" ref="O11" r:id="rId40"/>
    <hyperlink xmlns:r="http://schemas.openxmlformats.org/officeDocument/2006/relationships" ref="E12" r:id="rId41"/>
    <hyperlink xmlns:r="http://schemas.openxmlformats.org/officeDocument/2006/relationships" ref="M12" r:id="rId42"/>
    <hyperlink xmlns:r="http://schemas.openxmlformats.org/officeDocument/2006/relationships" ref="N12" r:id="rId43"/>
    <hyperlink xmlns:r="http://schemas.openxmlformats.org/officeDocument/2006/relationships" ref="O12" r:id="rId44"/>
    <hyperlink xmlns:r="http://schemas.openxmlformats.org/officeDocument/2006/relationships" ref="E13" r:id="rId45"/>
    <hyperlink xmlns:r="http://schemas.openxmlformats.org/officeDocument/2006/relationships" ref="M13" r:id="rId46"/>
    <hyperlink xmlns:r="http://schemas.openxmlformats.org/officeDocument/2006/relationships" ref="N13" r:id="rId47"/>
    <hyperlink xmlns:r="http://schemas.openxmlformats.org/officeDocument/2006/relationships" ref="O13" r:id="rId48"/>
    <hyperlink xmlns:r="http://schemas.openxmlformats.org/officeDocument/2006/relationships" ref="E14" r:id="rId49"/>
    <hyperlink xmlns:r="http://schemas.openxmlformats.org/officeDocument/2006/relationships" ref="M14" r:id="rId50"/>
    <hyperlink xmlns:r="http://schemas.openxmlformats.org/officeDocument/2006/relationships" ref="N14" r:id="rId51"/>
    <hyperlink xmlns:r="http://schemas.openxmlformats.org/officeDocument/2006/relationships" ref="O14" r:id="rId52"/>
    <hyperlink xmlns:r="http://schemas.openxmlformats.org/officeDocument/2006/relationships" ref="E15" r:id="rId53"/>
    <hyperlink xmlns:r="http://schemas.openxmlformats.org/officeDocument/2006/relationships" ref="M15" r:id="rId54"/>
    <hyperlink xmlns:r="http://schemas.openxmlformats.org/officeDocument/2006/relationships" ref="N15" r:id="rId55"/>
    <hyperlink xmlns:r="http://schemas.openxmlformats.org/officeDocument/2006/relationships" ref="O15" r:id="rId56"/>
    <hyperlink xmlns:r="http://schemas.openxmlformats.org/officeDocument/2006/relationships" ref="E16" r:id="rId57"/>
    <hyperlink xmlns:r="http://schemas.openxmlformats.org/officeDocument/2006/relationships" ref="M16" r:id="rId58"/>
    <hyperlink xmlns:r="http://schemas.openxmlformats.org/officeDocument/2006/relationships" ref="N16" r:id="rId59"/>
    <hyperlink xmlns:r="http://schemas.openxmlformats.org/officeDocument/2006/relationships" ref="O16" r:id="rId60"/>
    <hyperlink xmlns:r="http://schemas.openxmlformats.org/officeDocument/2006/relationships" ref="E17" r:id="rId61"/>
    <hyperlink xmlns:r="http://schemas.openxmlformats.org/officeDocument/2006/relationships" ref="M17" r:id="rId62"/>
    <hyperlink xmlns:r="http://schemas.openxmlformats.org/officeDocument/2006/relationships" ref="N17" r:id="rId63"/>
    <hyperlink xmlns:r="http://schemas.openxmlformats.org/officeDocument/2006/relationships" ref="O17" r:id="rId64"/>
    <hyperlink xmlns:r="http://schemas.openxmlformats.org/officeDocument/2006/relationships" ref="E18" r:id="rId65"/>
    <hyperlink xmlns:r="http://schemas.openxmlformats.org/officeDocument/2006/relationships" ref="M18" r:id="rId66"/>
    <hyperlink xmlns:r="http://schemas.openxmlformats.org/officeDocument/2006/relationships" ref="N18" r:id="rId67"/>
    <hyperlink xmlns:r="http://schemas.openxmlformats.org/officeDocument/2006/relationships" ref="O18" r:id="rId68"/>
    <hyperlink xmlns:r="http://schemas.openxmlformats.org/officeDocument/2006/relationships" ref="E19" r:id="rId69"/>
    <hyperlink xmlns:r="http://schemas.openxmlformats.org/officeDocument/2006/relationships" ref="M19" r:id="rId70"/>
    <hyperlink xmlns:r="http://schemas.openxmlformats.org/officeDocument/2006/relationships" ref="N19" r:id="rId71"/>
    <hyperlink xmlns:r="http://schemas.openxmlformats.org/officeDocument/2006/relationships" ref="O19" r:id="rId72"/>
    <hyperlink xmlns:r="http://schemas.openxmlformats.org/officeDocument/2006/relationships" ref="E20" r:id="rId73"/>
    <hyperlink xmlns:r="http://schemas.openxmlformats.org/officeDocument/2006/relationships" ref="M20" r:id="rId74"/>
    <hyperlink xmlns:r="http://schemas.openxmlformats.org/officeDocument/2006/relationships" ref="N20" r:id="rId75"/>
    <hyperlink xmlns:r="http://schemas.openxmlformats.org/officeDocument/2006/relationships" ref="O20" r:id="rId76"/>
    <hyperlink xmlns:r="http://schemas.openxmlformats.org/officeDocument/2006/relationships" ref="E21" r:id="rId77"/>
    <hyperlink xmlns:r="http://schemas.openxmlformats.org/officeDocument/2006/relationships" ref="M21" r:id="rId78"/>
    <hyperlink xmlns:r="http://schemas.openxmlformats.org/officeDocument/2006/relationships" ref="N21" r:id="rId79"/>
    <hyperlink xmlns:r="http://schemas.openxmlformats.org/officeDocument/2006/relationships" ref="O21" r:id="rId80"/>
    <hyperlink xmlns:r="http://schemas.openxmlformats.org/officeDocument/2006/relationships" ref="E22" r:id="rId81"/>
    <hyperlink xmlns:r="http://schemas.openxmlformats.org/officeDocument/2006/relationships" ref="M22" r:id="rId82"/>
    <hyperlink xmlns:r="http://schemas.openxmlformats.org/officeDocument/2006/relationships" ref="N22" r:id="rId83"/>
    <hyperlink xmlns:r="http://schemas.openxmlformats.org/officeDocument/2006/relationships" ref="O22" r:id="rId84"/>
    <hyperlink xmlns:r="http://schemas.openxmlformats.org/officeDocument/2006/relationships" ref="E23" r:id="rId85"/>
    <hyperlink xmlns:r="http://schemas.openxmlformats.org/officeDocument/2006/relationships" ref="M23" r:id="rId86"/>
    <hyperlink xmlns:r="http://schemas.openxmlformats.org/officeDocument/2006/relationships" ref="N23" r:id="rId87"/>
    <hyperlink xmlns:r="http://schemas.openxmlformats.org/officeDocument/2006/relationships" ref="O23" r:id="rId88"/>
    <hyperlink xmlns:r="http://schemas.openxmlformats.org/officeDocument/2006/relationships" ref="E24" r:id="rId89"/>
    <hyperlink xmlns:r="http://schemas.openxmlformats.org/officeDocument/2006/relationships" ref="M24" r:id="rId90"/>
    <hyperlink xmlns:r="http://schemas.openxmlformats.org/officeDocument/2006/relationships" ref="N24" r:id="rId91"/>
    <hyperlink xmlns:r="http://schemas.openxmlformats.org/officeDocument/2006/relationships" ref="O24" r:id="rId92"/>
    <hyperlink xmlns:r="http://schemas.openxmlformats.org/officeDocument/2006/relationships" ref="E25" r:id="rId93"/>
    <hyperlink xmlns:r="http://schemas.openxmlformats.org/officeDocument/2006/relationships" ref="M25" r:id="rId94"/>
    <hyperlink xmlns:r="http://schemas.openxmlformats.org/officeDocument/2006/relationships" ref="N25" r:id="rId95"/>
    <hyperlink xmlns:r="http://schemas.openxmlformats.org/officeDocument/2006/relationships" ref="O25" r:id="rId96"/>
    <hyperlink xmlns:r="http://schemas.openxmlformats.org/officeDocument/2006/relationships" ref="E26" r:id="rId97"/>
    <hyperlink xmlns:r="http://schemas.openxmlformats.org/officeDocument/2006/relationships" ref="M26" r:id="rId98"/>
    <hyperlink xmlns:r="http://schemas.openxmlformats.org/officeDocument/2006/relationships" ref="N26" r:id="rId99"/>
    <hyperlink xmlns:r="http://schemas.openxmlformats.org/officeDocument/2006/relationships" ref="O26" r:id="rId100"/>
    <hyperlink xmlns:r="http://schemas.openxmlformats.org/officeDocument/2006/relationships" ref="E27" r:id="rId101"/>
    <hyperlink xmlns:r="http://schemas.openxmlformats.org/officeDocument/2006/relationships" ref="M27" r:id="rId102"/>
    <hyperlink xmlns:r="http://schemas.openxmlformats.org/officeDocument/2006/relationships" ref="N27" r:id="rId103"/>
    <hyperlink xmlns:r="http://schemas.openxmlformats.org/officeDocument/2006/relationships" ref="O27" r:id="rId104"/>
    <hyperlink xmlns:r="http://schemas.openxmlformats.org/officeDocument/2006/relationships" ref="E28" r:id="rId105"/>
    <hyperlink xmlns:r="http://schemas.openxmlformats.org/officeDocument/2006/relationships" ref="M28" r:id="rId106"/>
    <hyperlink xmlns:r="http://schemas.openxmlformats.org/officeDocument/2006/relationships" ref="N28" r:id="rId107"/>
    <hyperlink xmlns:r="http://schemas.openxmlformats.org/officeDocument/2006/relationships" ref="O28" r:id="rId108"/>
    <hyperlink xmlns:r="http://schemas.openxmlformats.org/officeDocument/2006/relationships" ref="E29" r:id="rId109"/>
    <hyperlink xmlns:r="http://schemas.openxmlformats.org/officeDocument/2006/relationships" ref="M29" r:id="rId110"/>
    <hyperlink xmlns:r="http://schemas.openxmlformats.org/officeDocument/2006/relationships" ref="N29" r:id="rId111"/>
    <hyperlink xmlns:r="http://schemas.openxmlformats.org/officeDocument/2006/relationships" ref="O29" r:id="rId112"/>
    <hyperlink xmlns:r="http://schemas.openxmlformats.org/officeDocument/2006/relationships" ref="E30" r:id="rId113"/>
    <hyperlink xmlns:r="http://schemas.openxmlformats.org/officeDocument/2006/relationships" ref="M30" r:id="rId114"/>
    <hyperlink xmlns:r="http://schemas.openxmlformats.org/officeDocument/2006/relationships" ref="N30" r:id="rId115"/>
    <hyperlink xmlns:r="http://schemas.openxmlformats.org/officeDocument/2006/relationships" ref="O30" r:id="rId116"/>
    <hyperlink xmlns:r="http://schemas.openxmlformats.org/officeDocument/2006/relationships" ref="E31" r:id="rId117"/>
    <hyperlink xmlns:r="http://schemas.openxmlformats.org/officeDocument/2006/relationships" ref="M31" r:id="rId118"/>
    <hyperlink xmlns:r="http://schemas.openxmlformats.org/officeDocument/2006/relationships" ref="N31" r:id="rId119"/>
    <hyperlink xmlns:r="http://schemas.openxmlformats.org/officeDocument/2006/relationships" ref="O31" r:id="rId120"/>
    <hyperlink xmlns:r="http://schemas.openxmlformats.org/officeDocument/2006/relationships" ref="E32" r:id="rId121"/>
    <hyperlink xmlns:r="http://schemas.openxmlformats.org/officeDocument/2006/relationships" ref="M32" r:id="rId122"/>
    <hyperlink xmlns:r="http://schemas.openxmlformats.org/officeDocument/2006/relationships" ref="N32" r:id="rId123"/>
    <hyperlink xmlns:r="http://schemas.openxmlformats.org/officeDocument/2006/relationships" ref="O32" r:id="rId124"/>
    <hyperlink xmlns:r="http://schemas.openxmlformats.org/officeDocument/2006/relationships" ref="E33" r:id="rId125"/>
    <hyperlink xmlns:r="http://schemas.openxmlformats.org/officeDocument/2006/relationships" ref="M33" r:id="rId126"/>
    <hyperlink xmlns:r="http://schemas.openxmlformats.org/officeDocument/2006/relationships" ref="N33" r:id="rId127"/>
    <hyperlink xmlns:r="http://schemas.openxmlformats.org/officeDocument/2006/relationships" ref="O33" r:id="rId128"/>
    <hyperlink xmlns:r="http://schemas.openxmlformats.org/officeDocument/2006/relationships" ref="E34" r:id="rId129"/>
    <hyperlink xmlns:r="http://schemas.openxmlformats.org/officeDocument/2006/relationships" ref="M34" r:id="rId130"/>
    <hyperlink xmlns:r="http://schemas.openxmlformats.org/officeDocument/2006/relationships" ref="N34" r:id="rId131"/>
    <hyperlink xmlns:r="http://schemas.openxmlformats.org/officeDocument/2006/relationships" ref="O34" r:id="rId132"/>
    <hyperlink xmlns:r="http://schemas.openxmlformats.org/officeDocument/2006/relationships" ref="E35" r:id="rId133"/>
    <hyperlink xmlns:r="http://schemas.openxmlformats.org/officeDocument/2006/relationships" ref="M35" r:id="rId134"/>
    <hyperlink xmlns:r="http://schemas.openxmlformats.org/officeDocument/2006/relationships" ref="N35" r:id="rId135"/>
    <hyperlink xmlns:r="http://schemas.openxmlformats.org/officeDocument/2006/relationships" ref="O35" r:id="rId136"/>
    <hyperlink xmlns:r="http://schemas.openxmlformats.org/officeDocument/2006/relationships" ref="E36" r:id="rId137"/>
    <hyperlink xmlns:r="http://schemas.openxmlformats.org/officeDocument/2006/relationships" ref="M36" r:id="rId138"/>
    <hyperlink xmlns:r="http://schemas.openxmlformats.org/officeDocument/2006/relationships" ref="N36" r:id="rId139"/>
    <hyperlink xmlns:r="http://schemas.openxmlformats.org/officeDocument/2006/relationships" ref="O36" r:id="rId140"/>
    <hyperlink xmlns:r="http://schemas.openxmlformats.org/officeDocument/2006/relationships" ref="E37" r:id="rId141"/>
    <hyperlink xmlns:r="http://schemas.openxmlformats.org/officeDocument/2006/relationships" ref="M37" r:id="rId142"/>
    <hyperlink xmlns:r="http://schemas.openxmlformats.org/officeDocument/2006/relationships" ref="N37" r:id="rId143"/>
    <hyperlink xmlns:r="http://schemas.openxmlformats.org/officeDocument/2006/relationships" ref="O37" r:id="rId144"/>
    <hyperlink xmlns:r="http://schemas.openxmlformats.org/officeDocument/2006/relationships" ref="E38" r:id="rId145"/>
    <hyperlink xmlns:r="http://schemas.openxmlformats.org/officeDocument/2006/relationships" ref="M38" r:id="rId146"/>
    <hyperlink xmlns:r="http://schemas.openxmlformats.org/officeDocument/2006/relationships" ref="N38" r:id="rId147"/>
    <hyperlink xmlns:r="http://schemas.openxmlformats.org/officeDocument/2006/relationships" ref="O38" r:id="rId148"/>
    <hyperlink xmlns:r="http://schemas.openxmlformats.org/officeDocument/2006/relationships" ref="E39" r:id="rId149"/>
    <hyperlink xmlns:r="http://schemas.openxmlformats.org/officeDocument/2006/relationships" ref="M39" r:id="rId150"/>
    <hyperlink xmlns:r="http://schemas.openxmlformats.org/officeDocument/2006/relationships" ref="N39" r:id="rId151"/>
    <hyperlink xmlns:r="http://schemas.openxmlformats.org/officeDocument/2006/relationships" ref="O39" r:id="rId152"/>
    <hyperlink xmlns:r="http://schemas.openxmlformats.org/officeDocument/2006/relationships" ref="E40" r:id="rId153"/>
    <hyperlink xmlns:r="http://schemas.openxmlformats.org/officeDocument/2006/relationships" ref="M40" r:id="rId154"/>
    <hyperlink xmlns:r="http://schemas.openxmlformats.org/officeDocument/2006/relationships" ref="N40" r:id="rId155"/>
    <hyperlink xmlns:r="http://schemas.openxmlformats.org/officeDocument/2006/relationships" ref="O40" r:id="rId156"/>
    <hyperlink xmlns:r="http://schemas.openxmlformats.org/officeDocument/2006/relationships" ref="E41" r:id="rId157"/>
    <hyperlink xmlns:r="http://schemas.openxmlformats.org/officeDocument/2006/relationships" ref="M41" r:id="rId158"/>
    <hyperlink xmlns:r="http://schemas.openxmlformats.org/officeDocument/2006/relationships" ref="N41" r:id="rId159"/>
    <hyperlink xmlns:r="http://schemas.openxmlformats.org/officeDocument/2006/relationships" ref="O41" r:id="rId160"/>
    <hyperlink xmlns:r="http://schemas.openxmlformats.org/officeDocument/2006/relationships" ref="E42" r:id="rId161"/>
    <hyperlink xmlns:r="http://schemas.openxmlformats.org/officeDocument/2006/relationships" ref="M42" r:id="rId162"/>
    <hyperlink xmlns:r="http://schemas.openxmlformats.org/officeDocument/2006/relationships" ref="N42" r:id="rId163"/>
    <hyperlink xmlns:r="http://schemas.openxmlformats.org/officeDocument/2006/relationships" ref="O42" r:id="rId164"/>
    <hyperlink xmlns:r="http://schemas.openxmlformats.org/officeDocument/2006/relationships" ref="E43" r:id="rId165"/>
    <hyperlink xmlns:r="http://schemas.openxmlformats.org/officeDocument/2006/relationships" ref="M43" r:id="rId166"/>
    <hyperlink xmlns:r="http://schemas.openxmlformats.org/officeDocument/2006/relationships" ref="N43" r:id="rId167"/>
    <hyperlink xmlns:r="http://schemas.openxmlformats.org/officeDocument/2006/relationships" ref="O43" r:id="rId168"/>
    <hyperlink xmlns:r="http://schemas.openxmlformats.org/officeDocument/2006/relationships" ref="E44" r:id="rId169"/>
    <hyperlink xmlns:r="http://schemas.openxmlformats.org/officeDocument/2006/relationships" ref="M44" r:id="rId170"/>
    <hyperlink xmlns:r="http://schemas.openxmlformats.org/officeDocument/2006/relationships" ref="N44" r:id="rId171"/>
    <hyperlink xmlns:r="http://schemas.openxmlformats.org/officeDocument/2006/relationships" ref="O44" r:id="rId172"/>
    <hyperlink xmlns:r="http://schemas.openxmlformats.org/officeDocument/2006/relationships" ref="E45" r:id="rId173"/>
    <hyperlink xmlns:r="http://schemas.openxmlformats.org/officeDocument/2006/relationships" ref="M45" r:id="rId174"/>
    <hyperlink xmlns:r="http://schemas.openxmlformats.org/officeDocument/2006/relationships" ref="N45" r:id="rId175"/>
    <hyperlink xmlns:r="http://schemas.openxmlformats.org/officeDocument/2006/relationships" ref="O45" r:id="rId176"/>
    <hyperlink xmlns:r="http://schemas.openxmlformats.org/officeDocument/2006/relationships" ref="E46" r:id="rId177"/>
    <hyperlink xmlns:r="http://schemas.openxmlformats.org/officeDocument/2006/relationships" ref="M46" r:id="rId178"/>
    <hyperlink xmlns:r="http://schemas.openxmlformats.org/officeDocument/2006/relationships" ref="N46" r:id="rId179"/>
    <hyperlink xmlns:r="http://schemas.openxmlformats.org/officeDocument/2006/relationships" ref="O46" r:id="rId180"/>
    <hyperlink xmlns:r="http://schemas.openxmlformats.org/officeDocument/2006/relationships" ref="E47" r:id="rId181"/>
    <hyperlink xmlns:r="http://schemas.openxmlformats.org/officeDocument/2006/relationships" ref="M47" r:id="rId182"/>
    <hyperlink xmlns:r="http://schemas.openxmlformats.org/officeDocument/2006/relationships" ref="N47" r:id="rId183"/>
    <hyperlink xmlns:r="http://schemas.openxmlformats.org/officeDocument/2006/relationships" ref="O47" r:id="rId184"/>
    <hyperlink xmlns:r="http://schemas.openxmlformats.org/officeDocument/2006/relationships" ref="E48" r:id="rId185"/>
    <hyperlink xmlns:r="http://schemas.openxmlformats.org/officeDocument/2006/relationships" ref="M48" r:id="rId186"/>
    <hyperlink xmlns:r="http://schemas.openxmlformats.org/officeDocument/2006/relationships" ref="N48" r:id="rId187"/>
    <hyperlink xmlns:r="http://schemas.openxmlformats.org/officeDocument/2006/relationships" ref="O48" r:id="rId188"/>
    <hyperlink xmlns:r="http://schemas.openxmlformats.org/officeDocument/2006/relationships" ref="E49" r:id="rId189"/>
    <hyperlink xmlns:r="http://schemas.openxmlformats.org/officeDocument/2006/relationships" ref="M49" r:id="rId190"/>
    <hyperlink xmlns:r="http://schemas.openxmlformats.org/officeDocument/2006/relationships" ref="N49" r:id="rId191"/>
    <hyperlink xmlns:r="http://schemas.openxmlformats.org/officeDocument/2006/relationships" ref="O49" r:id="rId192"/>
    <hyperlink xmlns:r="http://schemas.openxmlformats.org/officeDocument/2006/relationships" ref="E50" r:id="rId193"/>
    <hyperlink xmlns:r="http://schemas.openxmlformats.org/officeDocument/2006/relationships" ref="M50" r:id="rId194"/>
    <hyperlink xmlns:r="http://schemas.openxmlformats.org/officeDocument/2006/relationships" ref="N50" r:id="rId195"/>
    <hyperlink xmlns:r="http://schemas.openxmlformats.org/officeDocument/2006/relationships" ref="O50" r:id="rId196"/>
    <hyperlink xmlns:r="http://schemas.openxmlformats.org/officeDocument/2006/relationships" ref="E51" r:id="rId197"/>
    <hyperlink xmlns:r="http://schemas.openxmlformats.org/officeDocument/2006/relationships" ref="M51" r:id="rId198"/>
    <hyperlink xmlns:r="http://schemas.openxmlformats.org/officeDocument/2006/relationships" ref="N51" r:id="rId199"/>
    <hyperlink xmlns:r="http://schemas.openxmlformats.org/officeDocument/2006/relationships" ref="O51" r:id="rId200"/>
    <hyperlink xmlns:r="http://schemas.openxmlformats.org/officeDocument/2006/relationships" ref="E52" r:id="rId201"/>
    <hyperlink xmlns:r="http://schemas.openxmlformats.org/officeDocument/2006/relationships" ref="M52" r:id="rId202"/>
    <hyperlink xmlns:r="http://schemas.openxmlformats.org/officeDocument/2006/relationships" ref="N52" r:id="rId203"/>
    <hyperlink xmlns:r="http://schemas.openxmlformats.org/officeDocument/2006/relationships" ref="O52" r:id="rId204"/>
    <hyperlink xmlns:r="http://schemas.openxmlformats.org/officeDocument/2006/relationships" ref="E53" r:id="rId205"/>
    <hyperlink xmlns:r="http://schemas.openxmlformats.org/officeDocument/2006/relationships" ref="M53" r:id="rId206"/>
    <hyperlink xmlns:r="http://schemas.openxmlformats.org/officeDocument/2006/relationships" ref="N53" r:id="rId207"/>
    <hyperlink xmlns:r="http://schemas.openxmlformats.org/officeDocument/2006/relationships" ref="O53" r:id="rId208"/>
    <hyperlink xmlns:r="http://schemas.openxmlformats.org/officeDocument/2006/relationships" ref="E54" r:id="rId209"/>
    <hyperlink xmlns:r="http://schemas.openxmlformats.org/officeDocument/2006/relationships" ref="M54" r:id="rId210"/>
    <hyperlink xmlns:r="http://schemas.openxmlformats.org/officeDocument/2006/relationships" ref="N54" r:id="rId211"/>
    <hyperlink xmlns:r="http://schemas.openxmlformats.org/officeDocument/2006/relationships" ref="O54" r:id="rId21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2026-09-18T11:46:48Z</dcterms:created>
  <dcterms:modified xmlns:dcterms="http://purl.org/dc/terms/" xmlns:xsi="http://www.w3.org/2001/XMLSchema-instance" xsi:type="dcterms:W3CDTF">2026-09-18T11:46:48Z</dcterms:modified>
</cp:coreProperties>
</file>