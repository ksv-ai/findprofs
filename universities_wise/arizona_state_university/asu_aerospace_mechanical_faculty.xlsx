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Max Keywords)" sheetId="1" state="visible" r:id="rId1"/>
    <sheet xmlns:r="http://schemas.openxmlformats.org/officeDocument/2006/relationships" name="All Faculty (Max Keyword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Liping.Wang@asu.edu" TargetMode="External" Id="rId1"/><Relationship Type="http://schemas.openxmlformats.org/officeDocument/2006/relationships/hyperlink" Target="http://faculty.engineering.asu.edu/lpwang" TargetMode="External" Id="rId2"/><Relationship Type="http://schemas.openxmlformats.org/officeDocument/2006/relationships/hyperlink" Target="https://search.asu.edu/profile/lwang78" TargetMode="External" Id="rId3"/><Relationship Type="http://schemas.openxmlformats.org/officeDocument/2006/relationships/hyperlink" Target="https://scholar.google.com/citations?view_op=search_authors&amp;mauthors=Liping%20Wang%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houssem.kasbaoui@asu.edu" TargetMode="External" Id="rId6"/><Relationship Type="http://schemas.openxmlformats.org/officeDocument/2006/relationships/hyperlink" Target="https://kasbaoui.bitbucket.io" TargetMode="External" Id="rId7"/><Relationship Type="http://schemas.openxmlformats.org/officeDocument/2006/relationships/hyperlink" Target="https://search.asu.edu/profile/mkasbaou" TargetMode="External" Id="rId8"/><Relationship Type="http://schemas.openxmlformats.org/officeDocument/2006/relationships/hyperlink" Target="https://scholar.google.com/citations?view_op=search_authors&amp;mauthors=Mohamed%20Houssem%20Kasbaoui%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Leixin.Ma@asu.edu" TargetMode="External" Id="rId29"/><Relationship Type="http://schemas.openxmlformats.org/officeDocument/2006/relationships/hyperlink" Target="https://sites.google.com/view/oasislabasu" TargetMode="External" Id="rId30"/><Relationship Type="http://schemas.openxmlformats.org/officeDocument/2006/relationships/hyperlink" Target="https://search.asu.edu/profile/leixinma" TargetMode="External" Id="rId31"/><Relationship Type="http://schemas.openxmlformats.org/officeDocument/2006/relationships/hyperlink" Target="https://scholar.google.com/citations?hl=en&amp;user=2xQTOc0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Gokul.Pathikonda@asu.edu" TargetMode="External" Id="rId34"/><Relationship Type="http://schemas.openxmlformats.org/officeDocument/2006/relationships/hyperlink" Target="https://faculty.engineering.asu.edu/cmat/" TargetMode="External" Id="rId35"/><Relationship Type="http://schemas.openxmlformats.org/officeDocument/2006/relationships/hyperlink" Target="https://search.asu.edu/profile/gpathiko" TargetMode="External" Id="rId36"/><Relationship Type="http://schemas.openxmlformats.org/officeDocument/2006/relationships/hyperlink" Target="https://scholar.google.com/citations?view_op=search_authors&amp;mauthors=Gokul%20Pathikonda%20Arizona%20State%20University"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kgarg24@asu.edu" TargetMode="External" Id="rId39"/><Relationship Type="http://schemas.openxmlformats.org/officeDocument/2006/relationships/hyperlink" Target="https://sites.google.com/asu.edu/kunalgarg/" TargetMode="External" Id="rId40"/><Relationship Type="http://schemas.openxmlformats.org/officeDocument/2006/relationships/hyperlink" Target="https://search.asu.edu/profile/kgarg24" TargetMode="External" Id="rId41"/><Relationship Type="http://schemas.openxmlformats.org/officeDocument/2006/relationships/hyperlink" Target="https://scholar.google.com/citations?hl=en&amp;user=vs3pl-8AAAAJ"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s>
</file>

<file path=xl/worksheets/_rels/sheet2.xml.rels><Relationships xmlns="http://schemas.openxmlformats.org/package/2006/relationships"><Relationship Type="http://schemas.openxmlformats.org/officeDocument/2006/relationships/hyperlink" Target="mailto:Liping.Wang@asu.edu" TargetMode="External" Id="rId1"/><Relationship Type="http://schemas.openxmlformats.org/officeDocument/2006/relationships/hyperlink" Target="http://faculty.engineering.asu.edu/lpwang" TargetMode="External" Id="rId2"/><Relationship Type="http://schemas.openxmlformats.org/officeDocument/2006/relationships/hyperlink" Target="https://search.asu.edu/profile/lwang78" TargetMode="External" Id="rId3"/><Relationship Type="http://schemas.openxmlformats.org/officeDocument/2006/relationships/hyperlink" Target="https://scholar.google.com/citations?view_op=search_authors&amp;mauthors=Liping%20Wang%20Arizona%20State%20University"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houssem.kasbaoui@asu.edu" TargetMode="External" Id="rId6"/><Relationship Type="http://schemas.openxmlformats.org/officeDocument/2006/relationships/hyperlink" Target="https://kasbaoui.bitbucket.io" TargetMode="External" Id="rId7"/><Relationship Type="http://schemas.openxmlformats.org/officeDocument/2006/relationships/hyperlink" Target="https://search.asu.edu/profile/mkasbaou" TargetMode="External" Id="rId8"/><Relationship Type="http://schemas.openxmlformats.org/officeDocument/2006/relationships/hyperlink" Target="https://scholar.google.com/citations?view_op=search_authors&amp;mauthors=Mohamed%20Houssem%20Kasbaoui%20Arizona%20State%20University"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earch.asu.edu/profile/joswald1" TargetMode="External" Id="rId13"/><Relationship Type="http://schemas.openxmlformats.org/officeDocument/2006/relationships/hyperlink" Target="https://scholar.google.com/citations?view_op=search_authors&amp;mauthors=Jay%20Oswald%20Arizona%20State%20University"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earch.asu.edu/profile/jsun165" TargetMode="External" Id="rId18"/><Relationship Type="http://schemas.openxmlformats.org/officeDocument/2006/relationships/hyperlink" Target="https://scholar.google.com/citations?hl=en&amp;user=fjUoHOsAAAAJ"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earch.asu.edu/profile/asuchen" TargetMode="External" Id="rId22"/><Relationship Type="http://schemas.openxmlformats.org/officeDocument/2006/relationships/hyperlink" Target="https://scholar.google.com/citations?hl=en&amp;user=xT-lX9sAAAAJ"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earch.asu.edu/profile/kramesh2" TargetMode="External" Id="rId26"/><Relationship Type="http://schemas.openxmlformats.org/officeDocument/2006/relationships/hyperlink" Target="https://scholar.google.com/citations?hl=en&amp;user=DKc-AgcAAAAJ"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Leixin.Ma@asu.edu" TargetMode="External" Id="rId29"/><Relationship Type="http://schemas.openxmlformats.org/officeDocument/2006/relationships/hyperlink" Target="https://sites.google.com/view/oasislabasu" TargetMode="External" Id="rId30"/><Relationship Type="http://schemas.openxmlformats.org/officeDocument/2006/relationships/hyperlink" Target="https://search.asu.edu/profile/leixinma" TargetMode="External" Id="rId31"/><Relationship Type="http://schemas.openxmlformats.org/officeDocument/2006/relationships/hyperlink" Target="https://scholar.google.com/citations?hl=en&amp;user=2xQTOc0AAAAJ"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Gokul.Pathikonda@asu.edu" TargetMode="External" Id="rId34"/><Relationship Type="http://schemas.openxmlformats.org/officeDocument/2006/relationships/hyperlink" Target="https://faculty.engineering.asu.edu/cmat/" TargetMode="External" Id="rId35"/><Relationship Type="http://schemas.openxmlformats.org/officeDocument/2006/relationships/hyperlink" Target="https://search.asu.edu/profile/gpathiko" TargetMode="External" Id="rId36"/><Relationship Type="http://schemas.openxmlformats.org/officeDocument/2006/relationships/hyperlink" Target="https://scholar.google.com/citations?view_op=search_authors&amp;mauthors=Gokul%20Pathikonda%20Arizona%20State%20University"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kgarg24@asu.edu" TargetMode="External" Id="rId39"/><Relationship Type="http://schemas.openxmlformats.org/officeDocument/2006/relationships/hyperlink" Target="https://sites.google.com/asu.edu/kunalgarg/" TargetMode="External" Id="rId40"/><Relationship Type="http://schemas.openxmlformats.org/officeDocument/2006/relationships/hyperlink" Target="https://search.asu.edu/profile/kgarg24" TargetMode="External" Id="rId41"/><Relationship Type="http://schemas.openxmlformats.org/officeDocument/2006/relationships/hyperlink" Target="https://scholar.google.com/citations?hl=en&amp;user=vs3pl-8AAAAJ"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earch.asu.edu/profile/mherrma1" TargetMode="External" Id="rId45"/><Relationship Type="http://schemas.openxmlformats.org/officeDocument/2006/relationships/hyperlink" Target="https://scholar.google.com/citations?hl=en&amp;user=yv6aCW8AAAAJ"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earch.asu.edu/profile/smberma2" TargetMode="External" Id="rId50"/><Relationship Type="http://schemas.openxmlformats.org/officeDocument/2006/relationships/hyperlink" Target="https://scholar.google.com/citations?hl=en&amp;user=KKup0OgAAAAJ"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earch.asu.edu/profile/xzhe1" TargetMode="External" Id="rId55"/><Relationship Type="http://schemas.openxmlformats.org/officeDocument/2006/relationships/hyperlink" Target="https://scholar.google.com/citations?view_op=search_authors&amp;mauthors=Zhe%20Xu%20Arizona%20State%20University"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earch.asu.edu/profile/jkim520" TargetMode="External" Id="rId59"/><Relationship Type="http://schemas.openxmlformats.org/officeDocument/2006/relationships/hyperlink" Target="https://scholar.google.com/citations?view_op=search_authors&amp;mauthors=Jeonglae%20Kim%20Arizona%20State%20University"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earch.asu.edu/profile/mpeet" TargetMode="External" Id="rId64"/><Relationship Type="http://schemas.openxmlformats.org/officeDocument/2006/relationships/hyperlink" Target="https://scholar.google.com/citations?view_op=search_authors&amp;mauthors=Matthew%20Peet%20Arizona%20State%20University"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earch.asu.edu/profile/rywang" TargetMode="External" Id="rId69"/><Relationship Type="http://schemas.openxmlformats.org/officeDocument/2006/relationships/hyperlink" Target="https://scholar.google.com/citations?hl=en&amp;user=LaUdx9gAAAAJ"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earch.asu.edu/profile/rjmilcar" TargetMode="External" Id="rId74"/><Relationship Type="http://schemas.openxmlformats.org/officeDocument/2006/relationships/hyperlink" Target="https://scholar.google.com/citations?view_op=search_authors&amp;mauthors=Ryan%20Milcarek%20Arizona%20State%20University"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earch.asu.edu/profile/attwl" TargetMode="External" Id="rId78"/><Relationship Type="http://schemas.openxmlformats.org/officeDocument/2006/relationships/hyperlink" Target="https://scholar.google.com/citations?view_op=search_authors&amp;mauthors=T.-W.%20Lee%20Arizona%20State%20University"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earch.asu.edu/profile/tyang123" TargetMode="External" Id="rId82"/><Relationship Type="http://schemas.openxmlformats.org/officeDocument/2006/relationships/hyperlink" Target="https://scholar.google.com/citations?view_op=search_authors&amp;mauthors=Tianyu%20Yang%20Arizona%20State%20University"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earch.asu.edu/profile/chattopa" TargetMode="External" Id="rId86"/><Relationship Type="http://schemas.openxmlformats.org/officeDocument/2006/relationships/hyperlink" Target="https://scholar.google.com/citations?hl=en&amp;user=w3fU9E0AAAAJ"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earch.asu.edu/profile/adscotti" TargetMode="External" Id="rId90"/><Relationship Type="http://schemas.openxmlformats.org/officeDocument/2006/relationships/hyperlink" Target="https://scholar.google.com/citations?hl=en&amp;user=HRx2lJQAAAAJ"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earch.asu.edu/profile/bkwon2" TargetMode="External" Id="rId95"/><Relationship Type="http://schemas.openxmlformats.org/officeDocument/2006/relationships/hyperlink" Target="https://scholar.google.com/citations?hl=en&amp;user=fs2d97sAAAAJ"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earch.asu.edu/profile/hmarvi" TargetMode="External" Id="rId100"/><Relationship Type="http://schemas.openxmlformats.org/officeDocument/2006/relationships/hyperlink" Target="https://scholar.google.com/citations?hl=en&amp;user=00Fepb0AAAAJ"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earch.asu.edu/profile/hlee234" TargetMode="External" Id="rId105"/><Relationship Type="http://schemas.openxmlformats.org/officeDocument/2006/relationships/hyperlink" Target="https://scholar.google.com/citations?view_op=search_authors&amp;mauthors=Hyunglae%20Lee%20Arizona%20State%20University"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earch.asu.edu/profile/ljannesa" TargetMode="External" Id="rId110"/><Relationship Type="http://schemas.openxmlformats.org/officeDocument/2006/relationships/hyperlink" Target="https://scholar.google.com/citations?view_op=search_authors&amp;mauthors=Leila%20Ladani%20Arizona%20State%20University"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earch.asu.edu/profile/pphelan" TargetMode="External" Id="rId114"/><Relationship Type="http://schemas.openxmlformats.org/officeDocument/2006/relationships/hyperlink" Target="https://scholar.google.com/citations?view_op=search_authors&amp;mauthors=Patrick%20Phelan%20Arizona%20State%20University"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earch.asu.edu/profile/ypeet" TargetMode="External" Id="rId119"/><Relationship Type="http://schemas.openxmlformats.org/officeDocument/2006/relationships/hyperlink" Target="https://scholar.google.com/citations?hl=en&amp;user=_6o8MrUAAAAJ"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earch.asu.edu/profile/hzhuang7" TargetMode="External" Id="rId123"/><Relationship Type="http://schemas.openxmlformats.org/officeDocument/2006/relationships/hyperlink" Target="https://scholar.google.com/citations?hl=en&amp;user=4yYKCpUAAAAJ"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earch.asu.edu/profile/hhuang38" TargetMode="External" Id="rId128"/><Relationship Type="http://schemas.openxmlformats.org/officeDocument/2006/relationships/hyperlink" Target="https://scholar.google.com/citations?view_op=search_authors&amp;mauthors=Huei-Ping%20Huang%20Arizona%20State%20University"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earch.asu.edu/profile/jrajago1" TargetMode="External" Id="rId133"/><Relationship Type="http://schemas.openxmlformats.org/officeDocument/2006/relationships/hyperlink" Target="https://scholar.google.com/citations?hl=en&amp;user=ClqRIhIAAAAJ"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earch.asu.edu/profile/krykacze" TargetMode="External" Id="rId138"/><Relationship Type="http://schemas.openxmlformats.org/officeDocument/2006/relationships/hyperlink" Target="https://scholar.google.com/citations?hl=en&amp;user=SWeAf4UAAAAJ"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earch.asu.edu/profile/mingleiq" TargetMode="External" Id="rId142"/><Relationship Type="http://schemas.openxmlformats.org/officeDocument/2006/relationships/hyperlink" Target="https://scholar.google.com/citations?hl=en&amp;user=9LWNC50AAAAJ"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earch.asu.edu/profile/qnian" TargetMode="External" Id="rId147"/><Relationship Type="http://schemas.openxmlformats.org/officeDocument/2006/relationships/hyperlink" Target="https://scholar.google.com/citations?view_op=search_authors&amp;mauthors=Qiong%20Nian%20Arizona%20State%20University"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earch.asu.edu/profile/rcalhou" TargetMode="External" Id="rId152"/><Relationship Type="http://schemas.openxmlformats.org/officeDocument/2006/relationships/hyperlink" Target="https://scholar.google.com/citations?view_op=search_authors&amp;mauthors=Ronald%20Calhoun%20Arizona%20State%20University"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earch.asu.edu/profile/wjin34" TargetMode="External" Id="rId157"/><Relationship Type="http://schemas.openxmlformats.org/officeDocument/2006/relationships/hyperlink" Target="https://scholar.google.com/citations?hl=en&amp;user=SoEC4h4AAAAJ"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earch.asu.edu/profile/yliu35" TargetMode="External" Id="rId161"/><Relationship Type="http://schemas.openxmlformats.org/officeDocument/2006/relationships/hyperlink" Target="https://scholar.google.com/citations?view_op=search_authors&amp;mauthors=Yongming%20Liu%20Arizona%20State%20University"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earch.asu.edu/profile/xiangji5" TargetMode="External" Id="rId166"/><Relationship Type="http://schemas.openxmlformats.org/officeDocument/2006/relationships/hyperlink" Target="https://scholar.google.com/citations?hl=en&amp;user=tGQzHJIAAAAJ"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earch.asu.edu/profile/jimbo" TargetMode="External" Id="rId170"/><Relationship Type="http://schemas.openxmlformats.org/officeDocument/2006/relationships/hyperlink" Target="https://scholar.google.com/citations?view_op=search_authors&amp;mauthors=James%20Middleton%20Arizona%20State%20University"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earch.asu.edu/profile/linli25" TargetMode="External" Id="rId174"/><Relationship Type="http://schemas.openxmlformats.org/officeDocument/2006/relationships/hyperlink" Target="https://scholar.google.com/citations?view_op=search_authors&amp;mauthors=Lin%20Li%20Arizona%20State%20University"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earch.asu.edu/profile/marc03" TargetMode="External" Id="rId178"/><Relationship Type="http://schemas.openxmlformats.org/officeDocument/2006/relationships/hyperlink" Target="https://scholar.google.com/citations?view_op=search_authors&amp;mauthors=Marc%20Mignolet%20Arizona%20State%20University"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earch.asu.edu/profile/pperalta" TargetMode="External" Id="rId183"/><Relationship Type="http://schemas.openxmlformats.org/officeDocument/2006/relationships/hyperlink" Target="https://scholar.google.com/citations?view_op=search_authors&amp;mauthors=Pedro%20Peralta%20Arizona%20State%20University"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earch.asu.edu/profile/wkang16" TargetMode="External" Id="rId188"/><Relationship Type="http://schemas.openxmlformats.org/officeDocument/2006/relationships/hyperlink" Target="https://scholar.google.com/citations?hl=en&amp;user=bHyyOTAAAAAJ"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earch.asu.edu/profile/yren32" TargetMode="External" Id="rId192"/><Relationship Type="http://schemas.openxmlformats.org/officeDocument/2006/relationships/hyperlink" Target="https://scholar.google.com/citations?view_op=search_authors&amp;mauthors=Yi%20Ren%20Arizona%20State%20University" TargetMode="External" Id="rId193"/><Relationship Type="http://schemas.openxmlformats.org/officeDocument/2006/relationships/hyperlink" Target="https://faculty.engineering.asu.edu/directory/semte/aerospace-and-mechanical-engineering/" TargetMode="External" Id="rId194"/><Relationship Type="http://schemas.openxmlformats.org/officeDocument/2006/relationships/hyperlink" Target="mailto:Derrick.Speaks@asu.edu" TargetMode="External" Id="rId195"/><Relationship Type="http://schemas.openxmlformats.org/officeDocument/2006/relationships/hyperlink" Target="https://search.asu.edu/profile/dspeaks2" TargetMode="External" Id="rId196"/><Relationship Type="http://schemas.openxmlformats.org/officeDocument/2006/relationships/hyperlink" Target="https://scholar.google.com/citations?view_op=search_authors&amp;mauthors=Derrick%20Speaks%20Arizona%20State%20University" TargetMode="External" Id="rId197"/><Relationship Type="http://schemas.openxmlformats.org/officeDocument/2006/relationships/hyperlink" Target="https://faculty.engineering.asu.edu/directory/semte/aerospace-and-mechanical-engineering/" TargetMode="External" Id="rId198"/><Relationship Type="http://schemas.openxmlformats.org/officeDocument/2006/relationships/hyperlink" Target="mailto:Erik.J.Andersen@asu.edu" TargetMode="External" Id="rId199"/><Relationship Type="http://schemas.openxmlformats.org/officeDocument/2006/relationships/hyperlink" Target="https://search.asu.edu/profile/ejande22" TargetMode="External" Id="rId200"/><Relationship Type="http://schemas.openxmlformats.org/officeDocument/2006/relationships/hyperlink" Target="https://scholar.google.com/citations?view_op=search_authors&amp;mauthors=Erik%20Andersen%20Arizona%20State%20University" TargetMode="External" Id="rId201"/><Relationship Type="http://schemas.openxmlformats.org/officeDocument/2006/relationships/hyperlink" Target="https://faculty.engineering.asu.edu/directory/semte/aerospace-and-mechanical-engineering/" TargetMode="External" Id="rId202"/><Relationship Type="http://schemas.openxmlformats.org/officeDocument/2006/relationships/hyperlink" Target="mailto:Ivy.Chang@asu.edu" TargetMode="External" Id="rId203"/><Relationship Type="http://schemas.openxmlformats.org/officeDocument/2006/relationships/hyperlink" Target="https://search.asu.edu/profile/iychang" TargetMode="External" Id="rId204"/><Relationship Type="http://schemas.openxmlformats.org/officeDocument/2006/relationships/hyperlink" Target="https://scholar.google.com/citations?view_op=search_authors&amp;mauthors=Ivy%20Chang%20Arizona%20State%20University" TargetMode="External" Id="rId205"/><Relationship Type="http://schemas.openxmlformats.org/officeDocument/2006/relationships/hyperlink" Target="https://faculty.engineering.asu.edu/directory/semte/aerospace-and-mechanical-engineering/" TargetMode="External" Id="rId206"/><Relationship Type="http://schemas.openxmlformats.org/officeDocument/2006/relationships/hyperlink" Target="mailto:Joshua.Wilbur@asu.edu" TargetMode="External" Id="rId207"/><Relationship Type="http://schemas.openxmlformats.org/officeDocument/2006/relationships/hyperlink" Target="https://search.asu.edu/profile/jdwilbu1" TargetMode="External" Id="rId208"/><Relationship Type="http://schemas.openxmlformats.org/officeDocument/2006/relationships/hyperlink" Target="https://scholar.google.com/citations?view_op=search_authors&amp;mauthors=Joshua%20Wilbur%20Arizona%20State%20University" TargetMode="External" Id="rId209"/><Relationship Type="http://schemas.openxmlformats.org/officeDocument/2006/relationships/hyperlink" Target="https://faculty.engineering.asu.edu/directory/semte/aerospace-and-mechanical-engineering/" TargetMode="External" Id="rId210"/><Relationship Type="http://schemas.openxmlformats.org/officeDocument/2006/relationships/hyperlink" Target="mailto:Ricardo.Cruz.Lozano@asu.edu" TargetMode="External" Id="rId211"/><Relationship Type="http://schemas.openxmlformats.org/officeDocument/2006/relationships/hyperlink" Target="https://search.asu.edu/profile/rcruzloz" TargetMode="External" Id="rId212"/><Relationship Type="http://schemas.openxmlformats.org/officeDocument/2006/relationships/hyperlink" Target="https://scholar.google.com/citations?view_op=search_authors&amp;mauthors=Ricardo%20Cruz%20Lozano%20Arizona%20State%20University" TargetMode="External" Id="rId213"/><Relationship Type="http://schemas.openxmlformats.org/officeDocument/2006/relationships/hyperlink" Target="https://faculty.engineering.asu.edu/directory/semte/aerospace-and-mechanical-engineering/" TargetMode="External" Id="rId214"/><Relationship Type="http://schemas.openxmlformats.org/officeDocument/2006/relationships/hyperlink" Target="mailto:Srinivas.Kosaraju@asu.edu" TargetMode="External" Id="rId215"/><Relationship Type="http://schemas.openxmlformats.org/officeDocument/2006/relationships/hyperlink" Target="https://search.asu.edu/profile/skosara2" TargetMode="External" Id="rId216"/><Relationship Type="http://schemas.openxmlformats.org/officeDocument/2006/relationships/hyperlink" Target="https://scholar.google.com/citations?view_op=search_authors&amp;mauthors=Srinivas%20Chakravarthi%20Kosaraju%20Arizona%20State%20University" TargetMode="External" Id="rId217"/><Relationship Type="http://schemas.openxmlformats.org/officeDocument/2006/relationships/hyperlink" Target="https://faculty.engineering.asu.edu/directory/semte/aerospace-and-mechanical-engineering/" TargetMode="External" Id="rId218"/></Relationships>
</file>

<file path=xl/worksheets/sheet1.xml><?xml version="1.0" encoding="utf-8"?>
<worksheet xmlns="http://schemas.openxmlformats.org/spreadsheetml/2006/main">
  <sheetPr>
    <outlinePr summaryBelow="1" summaryRight="1"/>
    <pageSetUpPr/>
  </sheetPr>
  <dimension ref="A1:R43"/>
  <sheetViews>
    <sheetView showGridLines="1" workbookViewId="0">
      <selection activeCell="A1" sqref="A1"/>
    </sheetView>
  </sheetViews>
  <sheetFormatPr baseColWidth="8" defaultRowHeight="15"/>
  <cols>
    <col width="28" customWidth="1" min="1" max="1"/>
    <col width="23"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46" customWidth="1" min="12" max="12"/>
    <col width="49" customWidth="1" min="13" max="13"/>
    <col width="18" customWidth="1" min="14" max="14"/>
    <col width="16" customWidth="1" min="15" max="15"/>
    <col width="49" customWidth="1" min="16" max="16"/>
    <col width="32" customWidth="1" min="17" max="17"/>
    <col width="49" customWidth="1" min="18" max="18"/>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Office Location</t>
        </is>
      </c>
      <c r="M1" s="1" t="inlineStr">
        <is>
          <t>Lab / Personal Website</t>
        </is>
      </c>
      <c r="N1" s="1" t="inlineStr">
        <is>
          <t>Is Field Match</t>
        </is>
      </c>
      <c r="O1" s="1" t="inlineStr">
        <is>
          <t>Scholar ID</t>
        </is>
      </c>
      <c r="P1" s="1" t="inlineStr">
        <is>
          <t>Profile URL</t>
        </is>
      </c>
      <c r="Q1" s="1" t="inlineStr">
        <is>
          <t>Google Scholar URL</t>
        </is>
      </c>
      <c r="R1" s="1" t="inlineStr">
        <is>
          <t>Directory URL</t>
        </is>
      </c>
    </row>
    <row r="2">
      <c r="A2" s="2" t="inlineStr">
        <is>
          <t>Liping Wang</t>
        </is>
      </c>
      <c r="B2" s="2" t="inlineStr">
        <is>
          <t>Associate Professor</t>
        </is>
      </c>
      <c r="C2" s="2" t="inlineStr">
        <is>
          <t>Aerospace &amp; Mechanical Engineering</t>
        </is>
      </c>
      <c r="D2" s="2" t="inlineStr">
        <is>
          <t>Arizona State University</t>
        </is>
      </c>
      <c r="E2" s="3">
        <f>HYPERLINK("mailto:Liping.Wang@asu.edu", "Liping.Wang@asu.edu")</f>
        <v/>
      </c>
      <c r="F2" s="2" t="n">
        <v>7</v>
      </c>
      <c r="G2" s="2" t="inlineStr">
        <is>
          <t>aerospace, guidance, heat transfer, materials, metamaterials, radiation, thermal</t>
        </is>
      </c>
      <c r="H2"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 s="2" t="inlineStr"/>
      <c r="J2" s="2" t="inlineStr">
        <is>
          <t>Wang research interests include selective control of thermal emission/absorption using meta-materials for energy harvesting and near-field radiation heat transfer enhancement between meta-materials for thermophotovoltaics.</t>
        </is>
      </c>
      <c r="K2"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2" s="2" t="inlineStr">
        <is>
          <t>ENGRC 327 (Tempe, AZ 85287-6106)</t>
        </is>
      </c>
      <c r="M2" s="3">
        <f>HYPERLINK("http://faculty.engineering.asu.edu/lpwang", "http://faculty.engineering.asu.edu/lpwang")</f>
        <v/>
      </c>
      <c r="N2" s="2" t="b">
        <v>1</v>
      </c>
      <c r="O2" s="2" t="inlineStr"/>
      <c r="P2" s="3">
        <f>HYPERLINK("https://search.asu.edu/profile/lwang78", "https://search.asu.edu/profile/lwang78")</f>
        <v/>
      </c>
      <c r="Q2" s="3">
        <f>HYPERLINK("https://scholar.google.com/citations?view_op=search_authors&amp;mauthors=Liping%20Wang%20Arizona%20State%20University", "Google Scholar Search")</f>
        <v/>
      </c>
      <c r="R2" s="3">
        <f>HYPERLINK("https://faculty.engineering.asu.edu/directory/semte/aerospace-and-mechanical-engineering/", "https://faculty.engineering.asu.edu/directory/semte/aerospace-and-mechanical-engineering/")</f>
        <v/>
      </c>
    </row>
    <row r="3">
      <c r="A3" s="2" t="inlineStr">
        <is>
          <t>Mohamed Houssem Kasbaoui</t>
        </is>
      </c>
      <c r="B3" s="2" t="inlineStr">
        <is>
          <t>Associate Professor</t>
        </is>
      </c>
      <c r="C3" s="2" t="inlineStr">
        <is>
          <t>Aerospace &amp; Mechanical Engineering</t>
        </is>
      </c>
      <c r="D3" s="2" t="inlineStr">
        <is>
          <t>Arizona State University</t>
        </is>
      </c>
      <c r="E3" s="3">
        <f>HYPERLINK("mailto:houssem.kasbaoui@asu.edu", "houssem.kasbaoui@asu.edu")</f>
        <v/>
      </c>
      <c r="F3" s="2" t="n">
        <v>7</v>
      </c>
      <c r="G3" s="2" t="inlineStr">
        <is>
          <t>aerospace, cfd, computational fluid dynamics, dns, fluid dynamics, multiphase flow, turbulent</t>
        </is>
      </c>
      <c r="H3" s="2" t="inlineStr"/>
      <c r="I3" s="2" t="inlineStr"/>
      <c r="J3" s="2" t="inlineStr">
        <is>
          <t>Kasbaoui's research interests include computational fluid dynamics, numerical methods, and massively parallel simulations of multiphase and particle-laden flows for environmental and aerospace applications.</t>
        </is>
      </c>
      <c r="K3"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3" s="2" t="inlineStr">
        <is>
          <t>Campus: Tempe</t>
        </is>
      </c>
      <c r="M3" s="3">
        <f>HYPERLINK("https://kasbaoui.bitbucket.io", "https://kasbaoui.bitbucket.io")</f>
        <v/>
      </c>
      <c r="N3" s="2" t="b">
        <v>1</v>
      </c>
      <c r="O3" s="2" t="inlineStr"/>
      <c r="P3" s="3">
        <f>HYPERLINK("https://search.asu.edu/profile/mkasbaou", "https://search.asu.edu/profile/mkasbaou")</f>
        <v/>
      </c>
      <c r="Q3" s="3">
        <f>HYPERLINK("https://scholar.google.com/citations?view_op=search_authors&amp;mauthors=Mohamed%20Houssem%20Kasbaoui%20Arizona%20State%20University", "Google Scholar Search")</f>
        <v/>
      </c>
      <c r="R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ENGRC 353 (Tempe, AZ 85287-6106)</t>
        </is>
      </c>
      <c r="M4" s="3">
        <f>HYPERLINK("http://sparky.fulton.asu.edu/oswald/", "http://sparky.fulton.asu.edu/oswald/")</f>
        <v/>
      </c>
      <c r="N4" s="2" t="b">
        <v>1</v>
      </c>
      <c r="O4" s="2" t="inlineStr"/>
      <c r="P4" s="3">
        <f>HYPERLINK("https://search.asu.edu/profile/joswald1", "https://search.asu.edu/profile/joswald1")</f>
        <v/>
      </c>
      <c r="Q4" s="3">
        <f>HYPERLINK("https://scholar.google.com/citations?view_op=search_authors&amp;mauthors=Jay%20Oswald%20Arizona%20State%20University", "Google Scholar Search")</f>
        <v/>
      </c>
      <c r="R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Campus: Tempe</t>
        </is>
      </c>
      <c r="M5" s="3">
        <f>HYPERLINK("https://sunroboticslab.github.io", "https://sunroboticslab.github.io")</f>
        <v/>
      </c>
      <c r="N5" s="2" t="b">
        <v>1</v>
      </c>
      <c r="O5" s="2" t="inlineStr">
        <is>
          <t>fjUoHOsAAAAJ</t>
        </is>
      </c>
      <c r="P5" s="3">
        <f>HYPERLINK("https://search.asu.edu/profile/jsun165", "https://search.asu.edu/profile/jsun165")</f>
        <v/>
      </c>
      <c r="Q5" s="3">
        <f>HYPERLINK("https://scholar.google.com/citations?hl=en&amp;user=fjUoHOsAAAAJ", "Scholar (fjUoHOsAAAAJ)")</f>
        <v/>
      </c>
      <c r="R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b">
        <v>1</v>
      </c>
      <c r="O6" s="2" t="inlineStr">
        <is>
          <t>xT-lX9sAAAAJ</t>
        </is>
      </c>
      <c r="P6" s="3">
        <f>HYPERLINK("https://search.asu.edu/profile/asuchen", "https://search.asu.edu/profile/asuchen")</f>
        <v/>
      </c>
      <c r="Q6" s="3">
        <f>HYPERLINK("https://scholar.google.com/citations?hl=en&amp;user=xT-lX9sAAAAJ", "Scholar (xT-lX9sAAAAJ)")</f>
        <v/>
      </c>
      <c r="R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b">
        <v>1</v>
      </c>
      <c r="O7" s="2" t="inlineStr">
        <is>
          <t>DKc-AgcAAAAJ</t>
        </is>
      </c>
      <c r="P7" s="3">
        <f>HYPERLINK("https://search.asu.edu/profile/kramesh2", "https://search.asu.edu/profile/kramesh2")</f>
        <v/>
      </c>
      <c r="Q7" s="3">
        <f>HYPERLINK("https://scholar.google.com/citations?hl=en&amp;user=DKc-AgcAAAAJ", "Scholar (DKc-AgcAAAAJ)")</f>
        <v/>
      </c>
      <c r="R7" s="3">
        <f>HYPERLINK("https://faculty.engineering.asu.edu/directory/semte/aerospace-and-mechanical-engineering/", "https://faculty.engineering.asu.edu/directory/semte/aerospace-and-mechanical-engineering/")</f>
        <v/>
      </c>
    </row>
    <row r="8">
      <c r="A8" s="2" t="inlineStr">
        <is>
          <t>Leixin Ma</t>
        </is>
      </c>
      <c r="B8" s="2" t="inlineStr">
        <is>
          <t>Assistant Professor</t>
        </is>
      </c>
      <c r="C8" s="2" t="inlineStr">
        <is>
          <t>Aerospace &amp; Mechanical Engineering</t>
        </is>
      </c>
      <c r="D8" s="2" t="inlineStr">
        <is>
          <t>Arizona State University</t>
        </is>
      </c>
      <c r="E8" s="3">
        <f>HYPERLINK("mailto:Leixin.Ma@asu.edu", "Leixin.Ma@asu.edu")</f>
        <v/>
      </c>
      <c r="F8" s="2" t="n">
        <v>6</v>
      </c>
      <c r="G8" s="2" t="inlineStr">
        <is>
          <t>aerodynamics, aerospace, fluid-structure interaction, fluids, materials, robot</t>
        </is>
      </c>
      <c r="H8" s="2" t="inlineStr">
        <is>
          <t>Aerodynamics, Dynamical Systems, Machine Learning, Mechanics of Composite Materials</t>
        </is>
      </c>
      <c r="I8" s="2" t="inlineStr">
        <is>
          <t>Aerodynamics, Dynamical Systems, Machine Learning, Mechanics of Composite Materials</t>
        </is>
      </c>
      <c r="J8" s="2" t="inlineStr">
        <is>
          <t>Leixin Ma's career goal is a data-driven and physically consistent approach to modeling and designing programmable smart structures and robots, especially under complex fluid flow conditions.</t>
        </is>
      </c>
      <c r="K8" s="2" t="inlineStr">
        <is>
          <t>Ph.D. in Mechanical Engineering, Massachusetts Institute of Technology, 2021 S.M. in Mechanical Engineering, Massachusetts Institute of Technology, 2017 B.S.E. in Naval Architecture and Ocean Engineering, Shanghai Jiao Tong University, 2015</t>
        </is>
      </c>
      <c r="L8" s="2" t="inlineStr"/>
      <c r="M8" s="3">
        <f>HYPERLINK("https://sites.google.com/view/oasislabasu", "https://sites.google.com/view/oasislabasu")</f>
        <v/>
      </c>
      <c r="N8" s="2" t="b">
        <v>1</v>
      </c>
      <c r="O8" s="2" t="inlineStr">
        <is>
          <t>2xQTOc0AAAAJ</t>
        </is>
      </c>
      <c r="P8" s="3">
        <f>HYPERLINK("https://search.asu.edu/profile/leixinma", "https://search.asu.edu/profile/leixinma")</f>
        <v/>
      </c>
      <c r="Q8" s="3">
        <f>HYPERLINK("https://scholar.google.com/citations?hl=en&amp;user=2xQTOc0AAAAJ", "Scholar (2xQTOc0AAAAJ)")</f>
        <v/>
      </c>
      <c r="R8" s="3">
        <f>HYPERLINK("https://faculty.engineering.asu.edu/directory/semte/aerospace-and-mechanical-engineering/", "https://faculty.engineering.asu.edu/directory/semte/aerospace-and-mechanical-engineering/")</f>
        <v/>
      </c>
    </row>
    <row r="9">
      <c r="A9" s="2" t="inlineStr">
        <is>
          <t>Gokul Pathikonda</t>
        </is>
      </c>
      <c r="B9" s="2" t="inlineStr">
        <is>
          <t>Assistant Professor</t>
        </is>
      </c>
      <c r="C9" s="2" t="inlineStr">
        <is>
          <t>Aerospace &amp; Mechanical Engineering</t>
        </is>
      </c>
      <c r="D9" s="2" t="inlineStr">
        <is>
          <t>Arizona State University</t>
        </is>
      </c>
      <c r="E9" s="3">
        <f>HYPERLINK("mailto:Gokul.Pathikonda@asu.edu", "Gokul.Pathikonda@asu.edu")</f>
        <v/>
      </c>
      <c r="F9" s="2" t="n">
        <v>5</v>
      </c>
      <c r="G9" s="2" t="inlineStr">
        <is>
          <t>aerodynamics, aerospace, reacting flow, turbulence, turbulent</t>
        </is>
      </c>
      <c r="H9" s="2" t="inlineStr">
        <is>
          <t>Aerodynamics, Aerospace Engineering, Mechanical Engineering</t>
        </is>
      </c>
      <c r="I9" s="2" t="inlineStr">
        <is>
          <t>Aerodynamics, Aerospace Engineering, Mechanical Engineering</t>
        </is>
      </c>
      <c r="J9" s="2" t="inlineStr">
        <is>
          <t>Dr. Pathikonda studies turbulent fluid flows to understand natural and engineering phenomena using lab experiments. His expertise is in complex (reacting) mixing, high Re-flows, laser-based &amp; spectroscopic techniques, etc.</t>
        </is>
      </c>
      <c r="K9" s="2" t="inlineStr">
        <is>
          <t>Ph. D. Theoretical and Applied Mechanics, University of Illinois, Urbana Champaign, 2017 | MS Aerospace Engineering, University of Illinois, Urbana Champaign, 2013 | B. Tech. Mechanical Engineering, National Institute of Technology, Warangal, 2009</t>
        </is>
      </c>
      <c r="L9" s="2" t="inlineStr">
        <is>
          <t>551 E Tyler Mall ERC 479 (Tempe, AZ 85281)</t>
        </is>
      </c>
      <c r="M9" s="3">
        <f>HYPERLINK("https://faculty.engineering.asu.edu/cmat/", "https://faculty.engineering.asu.edu/cmat/")</f>
        <v/>
      </c>
      <c r="N9" s="2" t="b">
        <v>1</v>
      </c>
      <c r="O9" s="2" t="inlineStr"/>
      <c r="P9" s="3">
        <f>HYPERLINK("https://search.asu.edu/profile/gpathiko", "https://search.asu.edu/profile/gpathiko")</f>
        <v/>
      </c>
      <c r="Q9" s="3">
        <f>HYPERLINK("https://scholar.google.com/citations?view_op=search_authors&amp;mauthors=Gokul%20Pathikonda%20Arizona%20State%20University", "Google Scholar Search")</f>
        <v/>
      </c>
      <c r="R9" s="3">
        <f>HYPERLINK("https://faculty.engineering.asu.edu/directory/semte/aerospace-and-mechanical-engineering/", "https://faculty.engineering.asu.edu/directory/semte/aerospace-and-mechanical-engineering/")</f>
        <v/>
      </c>
    </row>
    <row r="10">
      <c r="A10" s="2" t="inlineStr">
        <is>
          <t>Kunal Garg</t>
        </is>
      </c>
      <c r="B10" s="2" t="inlineStr">
        <is>
          <t>Assistant Professor</t>
        </is>
      </c>
      <c r="C10" s="2" t="inlineStr">
        <is>
          <t>Aerospace &amp; Mechanical Engineering</t>
        </is>
      </c>
      <c r="D10" s="2" t="inlineStr">
        <is>
          <t>Arizona State University</t>
        </is>
      </c>
      <c r="E10" s="3">
        <f>HYPERLINK("mailto:kgarg24@asu.edu", "kgarg24@asu.edu")</f>
        <v/>
      </c>
      <c r="F10" s="2" t="n">
        <v>5</v>
      </c>
      <c r="G10" s="2" t="inlineStr">
        <is>
          <t>aerospace, control theory, motion planning, robot, robotics</t>
        </is>
      </c>
      <c r="H10" s="2" t="inlineStr">
        <is>
          <t>Distributed multi-agent motion planning and control, Provably safe control design using machine learning-based certificates, Foundation models in complex robotic tasks, Failure prediction from limited demonstrations, Human-robot interaction.</t>
        </is>
      </c>
      <c r="I10" s="2" t="inlineStr">
        <is>
          <t>Control Systems, Dynamical Systems, Machine Learning, Nonlinear Dynamical Systems, Robotics</t>
        </is>
      </c>
      <c r="J10" s="2" t="inlineStr">
        <is>
          <t>Garg's research interests include control synthesis for multi-agent coordination using control theory and machine learning.</t>
        </is>
      </c>
      <c r="K10" s="2" t="inlineStr">
        <is>
          <t>PhD. Aerospace Engineering, University of Michigan, Ann Arbor, 2021 MS. Aerospace Engineering, University of Michigan, Ann Arbor, 2019 BTech. Aerospace Engineering, Indian Institute of Technology, Bombay, 2016</t>
        </is>
      </c>
      <c r="L10" s="2" t="inlineStr">
        <is>
          <t>551 E Tyler Mall ERC 475 (Tempe, AZ 85281)</t>
        </is>
      </c>
      <c r="M10" s="3">
        <f>HYPERLINK("https://sites.google.com/asu.edu/kunalgarg/", "https://sites.google.com/asu.edu/kunalgarg/")</f>
        <v/>
      </c>
      <c r="N10" s="2" t="b">
        <v>1</v>
      </c>
      <c r="O10" s="2" t="inlineStr">
        <is>
          <t>vs3pl-8AAAAJ</t>
        </is>
      </c>
      <c r="P10" s="3">
        <f>HYPERLINK("https://search.asu.edu/profile/kgarg24", "https://search.asu.edu/profile/kgarg24")</f>
        <v/>
      </c>
      <c r="Q10" s="3">
        <f>HYPERLINK("https://scholar.google.com/citations?hl=en&amp;user=vs3pl-8AAAAJ", "Scholar (vs3pl-8AAAAJ)")</f>
        <v/>
      </c>
      <c r="R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c r="M11" s="2" t="inlineStr"/>
      <c r="N11" s="2" t="b">
        <v>1</v>
      </c>
      <c r="O11" s="2" t="inlineStr">
        <is>
          <t>yv6aCW8AAAAJ</t>
        </is>
      </c>
      <c r="P11" s="3">
        <f>HYPERLINK("https://search.asu.edu/profile/mherrma1", "https://search.asu.edu/profile/mherrma1")</f>
        <v/>
      </c>
      <c r="Q11" s="3">
        <f>HYPERLINK("https://scholar.google.com/citations?hl=en&amp;user=yv6aCW8AAAAJ", "Scholar (yv6aCW8AAAAJ)")</f>
        <v/>
      </c>
      <c r="R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c r="M12" s="3">
        <f>HYPERLINK("http://faculty.engineering.asu.edu/acs/", "http://faculty.engineering.asu.edu/acs/")</f>
        <v/>
      </c>
      <c r="N12" s="2" t="b">
        <v>1</v>
      </c>
      <c r="O12" s="2" t="inlineStr">
        <is>
          <t>KKup0OgAAAAJ</t>
        </is>
      </c>
      <c r="P12" s="3">
        <f>HYPERLINK("https://search.asu.edu/profile/smberma2", "https://search.asu.edu/profile/smberma2")</f>
        <v/>
      </c>
      <c r="Q12" s="3">
        <f>HYPERLINK("https://scholar.google.com/citations?hl=en&amp;user=KKup0OgAAAAJ", "Scholar (KKup0OgAAAAJ)")</f>
        <v/>
      </c>
      <c r="R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is>
          <t>Campus: Tempe</t>
        </is>
      </c>
      <c r="M13" s="3">
        <f>HYPERLINK("https://sites.google.com/site/zhexudavid00710/research?authuser=0", "https://sites.google.com/site/zhexudavid00710/research?authuser=0")</f>
        <v/>
      </c>
      <c r="N13" s="2" t="b">
        <v>1</v>
      </c>
      <c r="O13" s="2" t="inlineStr"/>
      <c r="P13" s="3">
        <f>HYPERLINK("https://search.asu.edu/profile/xzhe1", "https://search.asu.edu/profile/xzhe1")</f>
        <v/>
      </c>
      <c r="Q13" s="3">
        <f>HYPERLINK("https://scholar.google.com/citations?view_op=search_authors&amp;mauthors=Zhe%20Xu%20Arizona%20State%20University", "Google Scholar Search")</f>
        <v/>
      </c>
      <c r="R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b">
        <v>1</v>
      </c>
      <c r="O14" s="2" t="inlineStr"/>
      <c r="P14" s="3">
        <f>HYPERLINK("https://search.asu.edu/profile/jkim520", "https://search.asu.edu/profile/jkim520")</f>
        <v/>
      </c>
      <c r="Q14" s="3">
        <f>HYPERLINK("https://scholar.google.com/citations?view_op=search_authors&amp;mauthors=Jeonglae%20Kim%20Arizona%20State%20University", "Google Scholar Search")</f>
        <v/>
      </c>
      <c r="R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c r="M15" s="3">
        <f>HYPERLINK("http://control.asu.edu/", "http://control.asu.edu/")</f>
        <v/>
      </c>
      <c r="N15" s="2" t="b">
        <v>1</v>
      </c>
      <c r="O15" s="2" t="inlineStr"/>
      <c r="P15" s="3">
        <f>HYPERLINK("https://search.asu.edu/profile/mpeet", "https://search.asu.edu/profile/mpeet")</f>
        <v/>
      </c>
      <c r="Q15" s="3">
        <f>HYPERLINK("https://scholar.google.com/citations?view_op=search_authors&amp;mauthors=Matthew%20Peet%20Arizona%20State%20University", "Google Scholar Search")</f>
        <v/>
      </c>
      <c r="R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3">
        <f>HYPERLINK("http://wang.faculty.asu.edu/", "http://wang.faculty.asu.edu/")</f>
        <v/>
      </c>
      <c r="N16" s="2" t="b">
        <v>1</v>
      </c>
      <c r="O16" s="2" t="inlineStr">
        <is>
          <t>LaUdx9gAAAAJ</t>
        </is>
      </c>
      <c r="P16" s="3">
        <f>HYPERLINK("https://search.asu.edu/profile/rywang", "https://search.asu.edu/profile/rywang")</f>
        <v/>
      </c>
      <c r="Q16" s="3">
        <f>HYPERLINK("https://scholar.google.com/citations?hl=en&amp;user=LaUdx9gAAAAJ", "Scholar (LaUdx9gAAAAJ)")</f>
        <v/>
      </c>
      <c r="R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3">
        <f>HYPERLINK("http://RESEARCHGATE.net/profile/Ryan_Milcarek", "http://RESEARCHGATE.net/profile/Ryan_Milcarek")</f>
        <v/>
      </c>
      <c r="N17" s="2" t="b">
        <v>1</v>
      </c>
      <c r="O17" s="2" t="inlineStr"/>
      <c r="P17" s="3">
        <f>HYPERLINK("https://search.asu.edu/profile/rjmilcar", "https://search.asu.edu/profile/rjmilcar")</f>
        <v/>
      </c>
      <c r="Q17" s="3">
        <f>HYPERLINK("https://scholar.google.com/citations?view_op=search_authors&amp;mauthors=Ryan%20Milcarek%20Arizona%20State%20University", "Google Scholar Search")</f>
        <v/>
      </c>
      <c r="R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is>
          <t>ENGRC 377 (TEMPE, AZ 85287-6106)</t>
        </is>
      </c>
      <c r="M18" s="2" t="inlineStr"/>
      <c r="N18" s="2" t="b">
        <v>1</v>
      </c>
      <c r="O18" s="2" t="inlineStr"/>
      <c r="P18" s="3">
        <f>HYPERLINK("https://search.asu.edu/profile/attwl", "https://search.asu.edu/profile/attwl")</f>
        <v/>
      </c>
      <c r="Q18" s="3">
        <f>HYPERLINK("https://scholar.google.com/citations?view_op=search_authors&amp;mauthors=T.-W.%20Lee%20Arizona%20State%20University", "Google Scholar Search")</f>
        <v/>
      </c>
      <c r="R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b">
        <v>1</v>
      </c>
      <c r="O19" s="2" t="inlineStr"/>
      <c r="P19" s="3">
        <f>HYPERLINK("https://search.asu.edu/profile/tyang123", "https://search.asu.edu/profile/tyang123")</f>
        <v/>
      </c>
      <c r="Q19" s="3">
        <f>HYPERLINK("https://scholar.google.com/citations?view_op=search_authors&amp;mauthors=Tianyu%20Yang%20Arizona%20State%20University", "Google Scholar Search")</f>
        <v/>
      </c>
      <c r="R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ENGRC 427 (TEMPE, AZ 85287-6106)</t>
        </is>
      </c>
      <c r="M20" s="2" t="inlineStr"/>
      <c r="N20" s="2" t="b">
        <v>1</v>
      </c>
      <c r="O20" s="2" t="inlineStr">
        <is>
          <t>w3fU9E0AAAAJ</t>
        </is>
      </c>
      <c r="P20" s="3">
        <f>HYPERLINK("https://search.asu.edu/profile/chattopa", "https://search.asu.edu/profile/chattopa")</f>
        <v/>
      </c>
      <c r="Q20" s="3">
        <f>HYPERLINK("https://scholar.google.com/citations?hl=en&amp;user=w3fU9E0AAAAJ", "Scholar (w3fU9E0AAAAJ)")</f>
        <v/>
      </c>
      <c r="R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is>
          <t>Campus: Tempe</t>
        </is>
      </c>
      <c r="M21" s="2" t="inlineStr"/>
      <c r="N21" s="2" t="b">
        <v>1</v>
      </c>
      <c r="O21" s="2" t="inlineStr">
        <is>
          <t>HRx2lJQAAAAJ</t>
        </is>
      </c>
      <c r="P21" s="3">
        <f>HYPERLINK("https://search.asu.edu/profile/adscotti", "https://search.asu.edu/profile/adscotti")</f>
        <v/>
      </c>
      <c r="Q21" s="3">
        <f>HYPERLINK("https://scholar.google.com/citations?hl=en&amp;user=HRx2lJQAAAAJ", "Scholar (HRx2lJQAAAAJ)")</f>
        <v/>
      </c>
      <c r="R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551 E Tyler Mall ERC 363 (Tempe, AZ 85281)</t>
        </is>
      </c>
      <c r="M22" s="3">
        <f>HYPERLINK("http://sites.google.com/view/3denergy", "http://sites.google.com/view/3denergy")</f>
        <v/>
      </c>
      <c r="N22" s="2" t="b">
        <v>1</v>
      </c>
      <c r="O22" s="2" t="inlineStr">
        <is>
          <t>fs2d97sAAAAJ</t>
        </is>
      </c>
      <c r="P22" s="3">
        <f>HYPERLINK("https://search.asu.edu/profile/bkwon2", "https://search.asu.edu/profile/bkwon2")</f>
        <v/>
      </c>
      <c r="Q22" s="3">
        <f>HYPERLINK("https://scholar.google.com/citations?hl=en&amp;user=fs2d97sAAAAJ", "Scholar (fs2d97sAAAAJ)")</f>
        <v/>
      </c>
      <c r="R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c r="M23" s="3">
        <f>HYPERLINK("http://birth.asu.edu", "http://birth.asu.edu")</f>
        <v/>
      </c>
      <c r="N23" s="2" t="b">
        <v>1</v>
      </c>
      <c r="O23" s="2" t="inlineStr">
        <is>
          <t>00Fepb0AAAAJ</t>
        </is>
      </c>
      <c r="P23" s="3">
        <f>HYPERLINK("https://search.asu.edu/profile/hmarvi", "https://search.asu.edu/profile/hmarvi")</f>
        <v/>
      </c>
      <c r="Q23" s="3">
        <f>HYPERLINK("https://scholar.google.com/citations?hl=en&amp;user=00Fepb0AAAAJ", "Scholar (00Fepb0AAAAJ)")</f>
        <v/>
      </c>
      <c r="R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is>
          <t>Campus: Tempe</t>
        </is>
      </c>
      <c r="M24" s="3">
        <f>HYPERLINK("https://faculty.engineering.asu.edu/hlee", "https://faculty.engineering.asu.edu/hlee")</f>
        <v/>
      </c>
      <c r="N24" s="2" t="b">
        <v>1</v>
      </c>
      <c r="O24" s="2" t="inlineStr"/>
      <c r="P24" s="3">
        <f>HYPERLINK("https://search.asu.edu/profile/hlee234", "https://search.asu.edu/profile/hlee234")</f>
        <v/>
      </c>
      <c r="Q24" s="3">
        <f>HYPERLINK("https://scholar.google.com/citations?view_op=search_authors&amp;mauthors=Hyunglae%20Lee%20Arizona%20State%20University", "Google Scholar Search")</f>
        <v/>
      </c>
      <c r="R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c r="M25" s="3">
        <f>HYPERLINK("https://magic.asu.edu/", "https://magic.asu.edu/")</f>
        <v/>
      </c>
      <c r="N25" s="2" t="b">
        <v>1</v>
      </c>
      <c r="O25" s="2" t="inlineStr"/>
      <c r="P25" s="3">
        <f>HYPERLINK("https://search.asu.edu/profile/ljannesa", "https://search.asu.edu/profile/ljannesa")</f>
        <v/>
      </c>
      <c r="Q25" s="3">
        <f>HYPERLINK("https://scholar.google.com/citations?view_op=search_authors&amp;mauthors=Leila%20Ladani%20Arizona%20State%20University", "Google Scholar Search")</f>
        <v/>
      </c>
      <c r="R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is>
          <t>ENGRC 463 (TEMPE, AZ 85287-6106)</t>
        </is>
      </c>
      <c r="M26" s="2" t="inlineStr"/>
      <c r="N26" s="2" t="b">
        <v>1</v>
      </c>
      <c r="O26" s="2" t="inlineStr"/>
      <c r="P26" s="3">
        <f>HYPERLINK("https://search.asu.edu/profile/pphelan", "https://search.asu.edu/profile/pphelan")</f>
        <v/>
      </c>
      <c r="Q26" s="3">
        <f>HYPERLINK("https://scholar.google.com/citations?view_op=search_authors&amp;mauthors=Patrick%20Phelan%20Arizona%20State%20University", "Google Scholar Search")</f>
        <v/>
      </c>
      <c r="R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c r="M27" s="3">
        <f>HYPERLINK("https://isim.asu.edu", "https://isim.asu.edu")</f>
        <v/>
      </c>
      <c r="N27" s="2" t="b">
        <v>1</v>
      </c>
      <c r="O27" s="2" t="inlineStr">
        <is>
          <t>_6o8MrUAAAAJ</t>
        </is>
      </c>
      <c r="P27" s="3">
        <f>HYPERLINK("https://search.asu.edu/profile/ypeet", "https://search.asu.edu/profile/ypeet")</f>
        <v/>
      </c>
      <c r="Q27" s="3">
        <f>HYPERLINK("https://scholar.google.com/citations?hl=en&amp;user=_6o8MrUAAAAJ", "Scholar (_6o8MrUAAAAJ)")</f>
        <v/>
      </c>
      <c r="R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c r="M28" s="2" t="inlineStr"/>
      <c r="N28" s="2" t="b">
        <v>1</v>
      </c>
      <c r="O28" s="2" t="inlineStr">
        <is>
          <t>4yYKCpUAAAAJ</t>
        </is>
      </c>
      <c r="P28" s="3">
        <f>HYPERLINK("https://search.asu.edu/profile/hzhuang7", "https://search.asu.edu/profile/hzhuang7")</f>
        <v/>
      </c>
      <c r="Q28" s="3">
        <f>HYPERLINK("https://scholar.google.com/citations?hl=en&amp;user=4yYKCpUAAAAJ", "Scholar (4yYKCpUAAAAJ)")</f>
        <v/>
      </c>
      <c r="R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is>
          <t>ENGRC 359 (Tempe, AZ 85287-6106)</t>
        </is>
      </c>
      <c r="M29" s="3">
        <f>HYPERLINK("http://www.public.asu.edu/~hhuang38", "http://www.public.asu.edu/~hhuang38")</f>
        <v/>
      </c>
      <c r="N29" s="2" t="b">
        <v>1</v>
      </c>
      <c r="O29" s="2" t="inlineStr"/>
      <c r="P29" s="3">
        <f>HYPERLINK("https://search.asu.edu/profile/hhuang38", "https://search.asu.edu/profile/hhuang38")</f>
        <v/>
      </c>
      <c r="Q29" s="3">
        <f>HYPERLINK("https://scholar.google.com/citations?view_op=search_authors&amp;mauthors=Huei-Ping%20Huang%20Arizona%20State%20University", "Google Scholar Search")</f>
        <v/>
      </c>
      <c r="R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ENGRC 355 (Tempe, AZ 85287-6106)</t>
        </is>
      </c>
      <c r="M30" s="3">
        <f>HYPERLINK("http://faculty.engineering.asu.edu/jagan/", "http://faculty.engineering.asu.edu/jagan/")</f>
        <v/>
      </c>
      <c r="N30" s="2" t="b">
        <v>1</v>
      </c>
      <c r="O30" s="2" t="inlineStr">
        <is>
          <t>ClqRIhIAAAAJ</t>
        </is>
      </c>
      <c r="P30" s="3">
        <f>HYPERLINK("https://search.asu.edu/profile/jrajago1", "https://search.asu.edu/profile/jrajago1")</f>
        <v/>
      </c>
      <c r="Q30" s="3">
        <f>HYPERLINK("https://scholar.google.com/citations?hl=en&amp;user=ClqRIhIAAAAJ", "Scholar (ClqRIhIAAAAJ)")</f>
        <v/>
      </c>
      <c r="R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c r="M31" s="3">
        <f>HYPERLINK("http://faculty.engineering.asu.edu/konrad/", "http://faculty.engineering.asu.edu/konrad/")</f>
        <v/>
      </c>
      <c r="N31" s="2" t="b">
        <v>1</v>
      </c>
      <c r="O31" s="2" t="inlineStr">
        <is>
          <t>SWeAf4UAAAAJ</t>
        </is>
      </c>
      <c r="P31" s="3">
        <f>HYPERLINK("https://search.asu.edu/profile/krykacze", "https://search.asu.edu/profile/krykacze")</f>
        <v/>
      </c>
      <c r="Q31" s="3">
        <f>HYPERLINK("https://scholar.google.com/citations?hl=en&amp;user=SWeAf4UAAAAJ", "Scholar (SWeAf4UAAAAJ)")</f>
        <v/>
      </c>
      <c r="R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b">
        <v>1</v>
      </c>
      <c r="O32" s="2" t="inlineStr">
        <is>
          <t>9LWNC50AAAAJ</t>
        </is>
      </c>
      <c r="P32" s="3">
        <f>HYPERLINK("https://search.asu.edu/profile/mingleiq", "https://search.asu.edu/profile/mingleiq")</f>
        <v/>
      </c>
      <c r="Q32" s="3">
        <f>HYPERLINK("https://scholar.google.com/citations?hl=en&amp;user=9LWNC50AAAAJ", "Scholar (9LWNC50AAAAJ)")</f>
        <v/>
      </c>
      <c r="R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is>
          <t>Campus: Tempe</t>
        </is>
      </c>
      <c r="M33" s="3">
        <f>HYPERLINK("https://mmmplab.engineering.asu.edu/", "https://mmmplab.engineering.asu.edu/")</f>
        <v/>
      </c>
      <c r="N33" s="2" t="b">
        <v>1</v>
      </c>
      <c r="O33" s="2" t="inlineStr"/>
      <c r="P33" s="3">
        <f>HYPERLINK("https://search.asu.edu/profile/qnian", "https://search.asu.edu/profile/qnian")</f>
        <v/>
      </c>
      <c r="Q33" s="3">
        <f>HYPERLINK("https://scholar.google.com/citations?view_op=search_authors&amp;mauthors=Qiong%20Nian%20Arizona%20State%20University", "Google Scholar Search")</f>
        <v/>
      </c>
      <c r="R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Goldwater 466 (TEMPE, AZ 85287-6106)</t>
        </is>
      </c>
      <c r="M34" s="3">
        <f>HYPERLINK("https://windlab.engineering.asu.edu/ronald-calhoun/", "https://windlab.engineering.asu.edu/ronald-calhoun/")</f>
        <v/>
      </c>
      <c r="N34" s="2" t="b">
        <v>1</v>
      </c>
      <c r="O34" s="2" t="inlineStr"/>
      <c r="P34" s="3">
        <f>HYPERLINK("https://search.asu.edu/profile/rcalhou", "https://search.asu.edu/profile/rcalhou")</f>
        <v/>
      </c>
      <c r="Q34" s="3">
        <f>HYPERLINK("https://scholar.google.com/citations?view_op=search_authors&amp;mauthors=Ronald%20Calhoun%20Arizona%20State%20University", "Google Scholar Search")</f>
        <v/>
      </c>
      <c r="R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c r="M35" s="3">
        <f>HYPERLINK("https://irislab.tech/", "https://irislab.tech/")</f>
        <v/>
      </c>
      <c r="N35" s="2" t="b">
        <v>1</v>
      </c>
      <c r="O35" s="2" t="inlineStr">
        <is>
          <t>SoEC4h4AAAAJ</t>
        </is>
      </c>
      <c r="P35" s="3">
        <f>HYPERLINK("https://search.asu.edu/profile/wjin34", "https://search.asu.edu/profile/wjin34")</f>
        <v/>
      </c>
      <c r="Q35" s="3">
        <f>HYPERLINK("https://scholar.google.com/citations?hl=en&amp;user=SoEC4h4AAAAJ", "Scholar (SoEC4h4AAAAJ)")</f>
        <v/>
      </c>
      <c r="R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ENGRC 409 (Tempe, AZ 85287-6106)</t>
        </is>
      </c>
      <c r="M36" s="2" t="inlineStr"/>
      <c r="N36" s="2" t="b">
        <v>1</v>
      </c>
      <c r="O36" s="2" t="inlineStr"/>
      <c r="P36" s="3">
        <f>HYPERLINK("https://search.asu.edu/profile/yliu35", "https://search.asu.edu/profile/yliu35")</f>
        <v/>
      </c>
      <c r="Q36" s="3">
        <f>HYPERLINK("https://scholar.google.com/citations?view_op=search_authors&amp;mauthors=Yongming%20Liu%20Arizona%20State%20University", "Google Scholar Search")</f>
        <v/>
      </c>
      <c r="R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c r="M37" s="3">
        <f>HYPERLINK("https://www.cindyxjli.com/", "https://www.cindyxjli.com/")</f>
        <v/>
      </c>
      <c r="N37" s="2" t="b">
        <v>1</v>
      </c>
      <c r="O37" s="2" t="inlineStr">
        <is>
          <t>tGQzHJIAAAAJ</t>
        </is>
      </c>
      <c r="P37" s="3">
        <f>HYPERLINK("https://search.asu.edu/profile/xiangji5", "https://search.asu.edu/profile/xiangji5")</f>
        <v/>
      </c>
      <c r="Q37" s="3">
        <f>HYPERLINK("https://scholar.google.com/citations?hl=en&amp;user=tGQzHJIAAAAJ", "Scholar (tGQzHJIAAAAJ)")</f>
        <v/>
      </c>
      <c r="R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c r="N38" s="2" t="b">
        <v>1</v>
      </c>
      <c r="O38" s="2" t="inlineStr"/>
      <c r="P38" s="3">
        <f>HYPERLINK("https://search.asu.edu/profile/jimbo", "https://search.asu.edu/profile/jimbo")</f>
        <v/>
      </c>
      <c r="Q38" s="3">
        <f>HYPERLINK("https://scholar.google.com/citations?view_op=search_authors&amp;mauthors=James%20Middleton%20Arizona%20State%20University", "Google Scholar Search")</f>
        <v/>
      </c>
      <c r="R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is>
          <t>Campus: Tempe</t>
        </is>
      </c>
      <c r="M39" s="2" t="inlineStr"/>
      <c r="N39" s="2" t="b">
        <v>1</v>
      </c>
      <c r="O39" s="2" t="inlineStr"/>
      <c r="P39" s="3">
        <f>HYPERLINK("https://search.asu.edu/profile/linli25", "https://search.asu.edu/profile/linli25")</f>
        <v/>
      </c>
      <c r="Q39" s="3">
        <f>HYPERLINK("https://scholar.google.com/citations?view_op=search_authors&amp;mauthors=Lin%20Li%20Arizona%20State%20University", "Google Scholar Search")</f>
        <v/>
      </c>
      <c r="R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c r="N40" s="2" t="b">
        <v>1</v>
      </c>
      <c r="O40" s="2" t="inlineStr"/>
      <c r="P40" s="3">
        <f>HYPERLINK("https://search.asu.edu/profile/marc03", "https://search.asu.edu/profile/marc03")</f>
        <v/>
      </c>
      <c r="Q40" s="3">
        <f>HYPERLINK("https://scholar.google.com/citations?view_op=search_authors&amp;mauthors=Marc%20Mignolet%20Arizona%20State%20University", "Google Scholar Search")</f>
        <v/>
      </c>
      <c r="R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3">
        <f>HYPERLINK("https://faculty.engineering.asu.edu/pperalta/", "https://faculty.engineering.asu.edu/pperalta/")</f>
        <v/>
      </c>
      <c r="N41" s="2" t="b">
        <v>1</v>
      </c>
      <c r="O41" s="2" t="inlineStr"/>
      <c r="P41" s="3">
        <f>HYPERLINK("https://search.asu.edu/profile/pperalta", "https://search.asu.edu/profile/pperalta")</f>
        <v/>
      </c>
      <c r="Q41" s="3">
        <f>HYPERLINK("https://scholar.google.com/citations?view_op=search_authors&amp;mauthors=Pedro%20Peralta%20Arizona%20State%20University", "Google Scholar Search")</f>
        <v/>
      </c>
      <c r="R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is>
          <t>Campus: Tempe</t>
        </is>
      </c>
      <c r="M42" s="3">
        <f>HYPERLINK("https://wonmokang3.wixsite.com/website", "https://wonmokang3.wixsite.com/website")</f>
        <v/>
      </c>
      <c r="N42" s="2" t="b">
        <v>1</v>
      </c>
      <c r="O42" s="2" t="inlineStr">
        <is>
          <t>bHyyOTAAAAAJ</t>
        </is>
      </c>
      <c r="P42" s="3">
        <f>HYPERLINK("https://search.asu.edu/profile/wkang16", "https://search.asu.edu/profile/wkang16")</f>
        <v/>
      </c>
      <c r="Q42" s="3">
        <f>HYPERLINK("https://scholar.google.com/citations?hl=en&amp;user=bHyyOTAAAAAJ", "Scholar (bHyyOTAAAAAJ)")</f>
        <v/>
      </c>
      <c r="R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is>
          <t>GWC 464 (Tempe, AZ 85287-6106)</t>
        </is>
      </c>
      <c r="M43" s="2" t="inlineStr"/>
      <c r="N43" s="2" t="b">
        <v>1</v>
      </c>
      <c r="O43" s="2" t="inlineStr"/>
      <c r="P43" s="3">
        <f>HYPERLINK("https://search.asu.edu/profile/yren32", "https://search.asu.edu/profile/yren32")</f>
        <v/>
      </c>
      <c r="Q43" s="3">
        <f>HYPERLINK("https://scholar.google.com/citations?view_op=search_authors&amp;mauthors=Yi%20Ren%20Arizona%20State%20University", "Google Scholar Search")</f>
        <v/>
      </c>
      <c r="R43"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P2" r:id="rId3"/>
    <hyperlink xmlns:r="http://schemas.openxmlformats.org/officeDocument/2006/relationships" ref="Q2" r:id="rId4"/>
    <hyperlink xmlns:r="http://schemas.openxmlformats.org/officeDocument/2006/relationships" ref="R2" r:id="rId5"/>
    <hyperlink xmlns:r="http://schemas.openxmlformats.org/officeDocument/2006/relationships" ref="E3" r:id="rId6"/>
    <hyperlink xmlns:r="http://schemas.openxmlformats.org/officeDocument/2006/relationships" ref="M3" r:id="rId7"/>
    <hyperlink xmlns:r="http://schemas.openxmlformats.org/officeDocument/2006/relationships" ref="P3" r:id="rId8"/>
    <hyperlink xmlns:r="http://schemas.openxmlformats.org/officeDocument/2006/relationships" ref="Q3" r:id="rId9"/>
    <hyperlink xmlns:r="http://schemas.openxmlformats.org/officeDocument/2006/relationships" ref="R3" r:id="rId10"/>
    <hyperlink xmlns:r="http://schemas.openxmlformats.org/officeDocument/2006/relationships" ref="E4" r:id="rId11"/>
    <hyperlink xmlns:r="http://schemas.openxmlformats.org/officeDocument/2006/relationships" ref="M4" r:id="rId12"/>
    <hyperlink xmlns:r="http://schemas.openxmlformats.org/officeDocument/2006/relationships" ref="P4" r:id="rId13"/>
    <hyperlink xmlns:r="http://schemas.openxmlformats.org/officeDocument/2006/relationships" ref="Q4" r:id="rId14"/>
    <hyperlink xmlns:r="http://schemas.openxmlformats.org/officeDocument/2006/relationships" ref="R4" r:id="rId15"/>
    <hyperlink xmlns:r="http://schemas.openxmlformats.org/officeDocument/2006/relationships" ref="E5" r:id="rId16"/>
    <hyperlink xmlns:r="http://schemas.openxmlformats.org/officeDocument/2006/relationships" ref="M5" r:id="rId17"/>
    <hyperlink xmlns:r="http://schemas.openxmlformats.org/officeDocument/2006/relationships" ref="P5" r:id="rId18"/>
    <hyperlink xmlns:r="http://schemas.openxmlformats.org/officeDocument/2006/relationships" ref="Q5" r:id="rId19"/>
    <hyperlink xmlns:r="http://schemas.openxmlformats.org/officeDocument/2006/relationships" ref="R5" r:id="rId20"/>
    <hyperlink xmlns:r="http://schemas.openxmlformats.org/officeDocument/2006/relationships" ref="E6" r:id="rId21"/>
    <hyperlink xmlns:r="http://schemas.openxmlformats.org/officeDocument/2006/relationships" ref="P6" r:id="rId22"/>
    <hyperlink xmlns:r="http://schemas.openxmlformats.org/officeDocument/2006/relationships" ref="Q6" r:id="rId23"/>
    <hyperlink xmlns:r="http://schemas.openxmlformats.org/officeDocument/2006/relationships" ref="R6" r:id="rId24"/>
    <hyperlink xmlns:r="http://schemas.openxmlformats.org/officeDocument/2006/relationships" ref="E7" r:id="rId25"/>
    <hyperlink xmlns:r="http://schemas.openxmlformats.org/officeDocument/2006/relationships" ref="P7" r:id="rId26"/>
    <hyperlink xmlns:r="http://schemas.openxmlformats.org/officeDocument/2006/relationships" ref="Q7" r:id="rId27"/>
    <hyperlink xmlns:r="http://schemas.openxmlformats.org/officeDocument/2006/relationships" ref="R7" r:id="rId28"/>
    <hyperlink xmlns:r="http://schemas.openxmlformats.org/officeDocument/2006/relationships" ref="E8" r:id="rId29"/>
    <hyperlink xmlns:r="http://schemas.openxmlformats.org/officeDocument/2006/relationships" ref="M8" r:id="rId30"/>
    <hyperlink xmlns:r="http://schemas.openxmlformats.org/officeDocument/2006/relationships" ref="P8" r:id="rId31"/>
    <hyperlink xmlns:r="http://schemas.openxmlformats.org/officeDocument/2006/relationships" ref="Q8" r:id="rId32"/>
    <hyperlink xmlns:r="http://schemas.openxmlformats.org/officeDocument/2006/relationships" ref="R8" r:id="rId33"/>
    <hyperlink xmlns:r="http://schemas.openxmlformats.org/officeDocument/2006/relationships" ref="E9" r:id="rId34"/>
    <hyperlink xmlns:r="http://schemas.openxmlformats.org/officeDocument/2006/relationships" ref="M9" r:id="rId35"/>
    <hyperlink xmlns:r="http://schemas.openxmlformats.org/officeDocument/2006/relationships" ref="P9" r:id="rId36"/>
    <hyperlink xmlns:r="http://schemas.openxmlformats.org/officeDocument/2006/relationships" ref="Q9" r:id="rId37"/>
    <hyperlink xmlns:r="http://schemas.openxmlformats.org/officeDocument/2006/relationships" ref="R9" r:id="rId38"/>
    <hyperlink xmlns:r="http://schemas.openxmlformats.org/officeDocument/2006/relationships" ref="E10" r:id="rId39"/>
    <hyperlink xmlns:r="http://schemas.openxmlformats.org/officeDocument/2006/relationships" ref="M10" r:id="rId40"/>
    <hyperlink xmlns:r="http://schemas.openxmlformats.org/officeDocument/2006/relationships" ref="P10" r:id="rId41"/>
    <hyperlink xmlns:r="http://schemas.openxmlformats.org/officeDocument/2006/relationships" ref="Q10" r:id="rId42"/>
    <hyperlink xmlns:r="http://schemas.openxmlformats.org/officeDocument/2006/relationships" ref="R10" r:id="rId43"/>
    <hyperlink xmlns:r="http://schemas.openxmlformats.org/officeDocument/2006/relationships" ref="E11" r:id="rId44"/>
    <hyperlink xmlns:r="http://schemas.openxmlformats.org/officeDocument/2006/relationships" ref="P11" r:id="rId45"/>
    <hyperlink xmlns:r="http://schemas.openxmlformats.org/officeDocument/2006/relationships" ref="Q11" r:id="rId46"/>
    <hyperlink xmlns:r="http://schemas.openxmlformats.org/officeDocument/2006/relationships" ref="R11" r:id="rId47"/>
    <hyperlink xmlns:r="http://schemas.openxmlformats.org/officeDocument/2006/relationships" ref="E12" r:id="rId48"/>
    <hyperlink xmlns:r="http://schemas.openxmlformats.org/officeDocument/2006/relationships" ref="M12" r:id="rId49"/>
    <hyperlink xmlns:r="http://schemas.openxmlformats.org/officeDocument/2006/relationships" ref="P12" r:id="rId50"/>
    <hyperlink xmlns:r="http://schemas.openxmlformats.org/officeDocument/2006/relationships" ref="Q12" r:id="rId51"/>
    <hyperlink xmlns:r="http://schemas.openxmlformats.org/officeDocument/2006/relationships" ref="R12" r:id="rId52"/>
    <hyperlink xmlns:r="http://schemas.openxmlformats.org/officeDocument/2006/relationships" ref="E13" r:id="rId53"/>
    <hyperlink xmlns:r="http://schemas.openxmlformats.org/officeDocument/2006/relationships" ref="M13" r:id="rId54"/>
    <hyperlink xmlns:r="http://schemas.openxmlformats.org/officeDocument/2006/relationships" ref="P13" r:id="rId55"/>
    <hyperlink xmlns:r="http://schemas.openxmlformats.org/officeDocument/2006/relationships" ref="Q13" r:id="rId56"/>
    <hyperlink xmlns:r="http://schemas.openxmlformats.org/officeDocument/2006/relationships" ref="R13" r:id="rId57"/>
    <hyperlink xmlns:r="http://schemas.openxmlformats.org/officeDocument/2006/relationships" ref="E14" r:id="rId58"/>
    <hyperlink xmlns:r="http://schemas.openxmlformats.org/officeDocument/2006/relationships" ref="P14" r:id="rId59"/>
    <hyperlink xmlns:r="http://schemas.openxmlformats.org/officeDocument/2006/relationships" ref="Q14" r:id="rId60"/>
    <hyperlink xmlns:r="http://schemas.openxmlformats.org/officeDocument/2006/relationships" ref="R14" r:id="rId61"/>
    <hyperlink xmlns:r="http://schemas.openxmlformats.org/officeDocument/2006/relationships" ref="E15" r:id="rId62"/>
    <hyperlink xmlns:r="http://schemas.openxmlformats.org/officeDocument/2006/relationships" ref="M15" r:id="rId63"/>
    <hyperlink xmlns:r="http://schemas.openxmlformats.org/officeDocument/2006/relationships" ref="P15" r:id="rId64"/>
    <hyperlink xmlns:r="http://schemas.openxmlformats.org/officeDocument/2006/relationships" ref="Q15" r:id="rId65"/>
    <hyperlink xmlns:r="http://schemas.openxmlformats.org/officeDocument/2006/relationships" ref="R15" r:id="rId66"/>
    <hyperlink xmlns:r="http://schemas.openxmlformats.org/officeDocument/2006/relationships" ref="E16" r:id="rId67"/>
    <hyperlink xmlns:r="http://schemas.openxmlformats.org/officeDocument/2006/relationships" ref="M16" r:id="rId68"/>
    <hyperlink xmlns:r="http://schemas.openxmlformats.org/officeDocument/2006/relationships" ref="P16" r:id="rId69"/>
    <hyperlink xmlns:r="http://schemas.openxmlformats.org/officeDocument/2006/relationships" ref="Q16" r:id="rId70"/>
    <hyperlink xmlns:r="http://schemas.openxmlformats.org/officeDocument/2006/relationships" ref="R16" r:id="rId71"/>
    <hyperlink xmlns:r="http://schemas.openxmlformats.org/officeDocument/2006/relationships" ref="E17" r:id="rId72"/>
    <hyperlink xmlns:r="http://schemas.openxmlformats.org/officeDocument/2006/relationships" ref="M17" r:id="rId73"/>
    <hyperlink xmlns:r="http://schemas.openxmlformats.org/officeDocument/2006/relationships" ref="P17" r:id="rId74"/>
    <hyperlink xmlns:r="http://schemas.openxmlformats.org/officeDocument/2006/relationships" ref="Q17" r:id="rId75"/>
    <hyperlink xmlns:r="http://schemas.openxmlformats.org/officeDocument/2006/relationships" ref="R17" r:id="rId76"/>
    <hyperlink xmlns:r="http://schemas.openxmlformats.org/officeDocument/2006/relationships" ref="E18" r:id="rId77"/>
    <hyperlink xmlns:r="http://schemas.openxmlformats.org/officeDocument/2006/relationships" ref="P18" r:id="rId78"/>
    <hyperlink xmlns:r="http://schemas.openxmlformats.org/officeDocument/2006/relationships" ref="Q18" r:id="rId79"/>
    <hyperlink xmlns:r="http://schemas.openxmlformats.org/officeDocument/2006/relationships" ref="R18" r:id="rId80"/>
    <hyperlink xmlns:r="http://schemas.openxmlformats.org/officeDocument/2006/relationships" ref="E19" r:id="rId81"/>
    <hyperlink xmlns:r="http://schemas.openxmlformats.org/officeDocument/2006/relationships" ref="P19" r:id="rId82"/>
    <hyperlink xmlns:r="http://schemas.openxmlformats.org/officeDocument/2006/relationships" ref="Q19" r:id="rId83"/>
    <hyperlink xmlns:r="http://schemas.openxmlformats.org/officeDocument/2006/relationships" ref="R19" r:id="rId84"/>
    <hyperlink xmlns:r="http://schemas.openxmlformats.org/officeDocument/2006/relationships" ref="E20" r:id="rId85"/>
    <hyperlink xmlns:r="http://schemas.openxmlformats.org/officeDocument/2006/relationships" ref="P20" r:id="rId86"/>
    <hyperlink xmlns:r="http://schemas.openxmlformats.org/officeDocument/2006/relationships" ref="Q20" r:id="rId87"/>
    <hyperlink xmlns:r="http://schemas.openxmlformats.org/officeDocument/2006/relationships" ref="R20" r:id="rId88"/>
    <hyperlink xmlns:r="http://schemas.openxmlformats.org/officeDocument/2006/relationships" ref="E21" r:id="rId89"/>
    <hyperlink xmlns:r="http://schemas.openxmlformats.org/officeDocument/2006/relationships" ref="P21" r:id="rId90"/>
    <hyperlink xmlns:r="http://schemas.openxmlformats.org/officeDocument/2006/relationships" ref="Q21" r:id="rId91"/>
    <hyperlink xmlns:r="http://schemas.openxmlformats.org/officeDocument/2006/relationships" ref="R21" r:id="rId92"/>
    <hyperlink xmlns:r="http://schemas.openxmlformats.org/officeDocument/2006/relationships" ref="E22" r:id="rId93"/>
    <hyperlink xmlns:r="http://schemas.openxmlformats.org/officeDocument/2006/relationships" ref="M22" r:id="rId94"/>
    <hyperlink xmlns:r="http://schemas.openxmlformats.org/officeDocument/2006/relationships" ref="P22" r:id="rId95"/>
    <hyperlink xmlns:r="http://schemas.openxmlformats.org/officeDocument/2006/relationships" ref="Q22" r:id="rId96"/>
    <hyperlink xmlns:r="http://schemas.openxmlformats.org/officeDocument/2006/relationships" ref="R22" r:id="rId97"/>
    <hyperlink xmlns:r="http://schemas.openxmlformats.org/officeDocument/2006/relationships" ref="E23" r:id="rId98"/>
    <hyperlink xmlns:r="http://schemas.openxmlformats.org/officeDocument/2006/relationships" ref="M23" r:id="rId99"/>
    <hyperlink xmlns:r="http://schemas.openxmlformats.org/officeDocument/2006/relationships" ref="P23" r:id="rId100"/>
    <hyperlink xmlns:r="http://schemas.openxmlformats.org/officeDocument/2006/relationships" ref="Q23" r:id="rId101"/>
    <hyperlink xmlns:r="http://schemas.openxmlformats.org/officeDocument/2006/relationships" ref="R23" r:id="rId102"/>
    <hyperlink xmlns:r="http://schemas.openxmlformats.org/officeDocument/2006/relationships" ref="E24" r:id="rId103"/>
    <hyperlink xmlns:r="http://schemas.openxmlformats.org/officeDocument/2006/relationships" ref="M24" r:id="rId104"/>
    <hyperlink xmlns:r="http://schemas.openxmlformats.org/officeDocument/2006/relationships" ref="P24" r:id="rId105"/>
    <hyperlink xmlns:r="http://schemas.openxmlformats.org/officeDocument/2006/relationships" ref="Q24" r:id="rId106"/>
    <hyperlink xmlns:r="http://schemas.openxmlformats.org/officeDocument/2006/relationships" ref="R24" r:id="rId107"/>
    <hyperlink xmlns:r="http://schemas.openxmlformats.org/officeDocument/2006/relationships" ref="E25" r:id="rId108"/>
    <hyperlink xmlns:r="http://schemas.openxmlformats.org/officeDocument/2006/relationships" ref="M25" r:id="rId109"/>
    <hyperlink xmlns:r="http://schemas.openxmlformats.org/officeDocument/2006/relationships" ref="P25" r:id="rId110"/>
    <hyperlink xmlns:r="http://schemas.openxmlformats.org/officeDocument/2006/relationships" ref="Q25" r:id="rId111"/>
    <hyperlink xmlns:r="http://schemas.openxmlformats.org/officeDocument/2006/relationships" ref="R25" r:id="rId112"/>
    <hyperlink xmlns:r="http://schemas.openxmlformats.org/officeDocument/2006/relationships" ref="E26" r:id="rId113"/>
    <hyperlink xmlns:r="http://schemas.openxmlformats.org/officeDocument/2006/relationships" ref="P26" r:id="rId114"/>
    <hyperlink xmlns:r="http://schemas.openxmlformats.org/officeDocument/2006/relationships" ref="Q26" r:id="rId115"/>
    <hyperlink xmlns:r="http://schemas.openxmlformats.org/officeDocument/2006/relationships" ref="R26" r:id="rId116"/>
    <hyperlink xmlns:r="http://schemas.openxmlformats.org/officeDocument/2006/relationships" ref="E27" r:id="rId117"/>
    <hyperlink xmlns:r="http://schemas.openxmlformats.org/officeDocument/2006/relationships" ref="M27" r:id="rId118"/>
    <hyperlink xmlns:r="http://schemas.openxmlformats.org/officeDocument/2006/relationships" ref="P27" r:id="rId119"/>
    <hyperlink xmlns:r="http://schemas.openxmlformats.org/officeDocument/2006/relationships" ref="Q27" r:id="rId120"/>
    <hyperlink xmlns:r="http://schemas.openxmlformats.org/officeDocument/2006/relationships" ref="R27" r:id="rId121"/>
    <hyperlink xmlns:r="http://schemas.openxmlformats.org/officeDocument/2006/relationships" ref="E28" r:id="rId122"/>
    <hyperlink xmlns:r="http://schemas.openxmlformats.org/officeDocument/2006/relationships" ref="P28" r:id="rId123"/>
    <hyperlink xmlns:r="http://schemas.openxmlformats.org/officeDocument/2006/relationships" ref="Q28" r:id="rId124"/>
    <hyperlink xmlns:r="http://schemas.openxmlformats.org/officeDocument/2006/relationships" ref="R28" r:id="rId125"/>
    <hyperlink xmlns:r="http://schemas.openxmlformats.org/officeDocument/2006/relationships" ref="E29" r:id="rId126"/>
    <hyperlink xmlns:r="http://schemas.openxmlformats.org/officeDocument/2006/relationships" ref="M29" r:id="rId127"/>
    <hyperlink xmlns:r="http://schemas.openxmlformats.org/officeDocument/2006/relationships" ref="P29" r:id="rId128"/>
    <hyperlink xmlns:r="http://schemas.openxmlformats.org/officeDocument/2006/relationships" ref="Q29" r:id="rId129"/>
    <hyperlink xmlns:r="http://schemas.openxmlformats.org/officeDocument/2006/relationships" ref="R29" r:id="rId130"/>
    <hyperlink xmlns:r="http://schemas.openxmlformats.org/officeDocument/2006/relationships" ref="E30" r:id="rId131"/>
    <hyperlink xmlns:r="http://schemas.openxmlformats.org/officeDocument/2006/relationships" ref="M30" r:id="rId132"/>
    <hyperlink xmlns:r="http://schemas.openxmlformats.org/officeDocument/2006/relationships" ref="P30" r:id="rId133"/>
    <hyperlink xmlns:r="http://schemas.openxmlformats.org/officeDocument/2006/relationships" ref="Q30" r:id="rId134"/>
    <hyperlink xmlns:r="http://schemas.openxmlformats.org/officeDocument/2006/relationships" ref="R30" r:id="rId135"/>
    <hyperlink xmlns:r="http://schemas.openxmlformats.org/officeDocument/2006/relationships" ref="E31" r:id="rId136"/>
    <hyperlink xmlns:r="http://schemas.openxmlformats.org/officeDocument/2006/relationships" ref="M31" r:id="rId137"/>
    <hyperlink xmlns:r="http://schemas.openxmlformats.org/officeDocument/2006/relationships" ref="P31" r:id="rId138"/>
    <hyperlink xmlns:r="http://schemas.openxmlformats.org/officeDocument/2006/relationships" ref="Q31" r:id="rId139"/>
    <hyperlink xmlns:r="http://schemas.openxmlformats.org/officeDocument/2006/relationships" ref="R31" r:id="rId140"/>
    <hyperlink xmlns:r="http://schemas.openxmlformats.org/officeDocument/2006/relationships" ref="E32" r:id="rId141"/>
    <hyperlink xmlns:r="http://schemas.openxmlformats.org/officeDocument/2006/relationships" ref="P32" r:id="rId142"/>
    <hyperlink xmlns:r="http://schemas.openxmlformats.org/officeDocument/2006/relationships" ref="Q32" r:id="rId143"/>
    <hyperlink xmlns:r="http://schemas.openxmlformats.org/officeDocument/2006/relationships" ref="R32" r:id="rId144"/>
    <hyperlink xmlns:r="http://schemas.openxmlformats.org/officeDocument/2006/relationships" ref="E33" r:id="rId145"/>
    <hyperlink xmlns:r="http://schemas.openxmlformats.org/officeDocument/2006/relationships" ref="M33" r:id="rId146"/>
    <hyperlink xmlns:r="http://schemas.openxmlformats.org/officeDocument/2006/relationships" ref="P33" r:id="rId147"/>
    <hyperlink xmlns:r="http://schemas.openxmlformats.org/officeDocument/2006/relationships" ref="Q33" r:id="rId148"/>
    <hyperlink xmlns:r="http://schemas.openxmlformats.org/officeDocument/2006/relationships" ref="R33" r:id="rId149"/>
    <hyperlink xmlns:r="http://schemas.openxmlformats.org/officeDocument/2006/relationships" ref="E34" r:id="rId150"/>
    <hyperlink xmlns:r="http://schemas.openxmlformats.org/officeDocument/2006/relationships" ref="M34" r:id="rId151"/>
    <hyperlink xmlns:r="http://schemas.openxmlformats.org/officeDocument/2006/relationships" ref="P34" r:id="rId152"/>
    <hyperlink xmlns:r="http://schemas.openxmlformats.org/officeDocument/2006/relationships" ref="Q34" r:id="rId153"/>
    <hyperlink xmlns:r="http://schemas.openxmlformats.org/officeDocument/2006/relationships" ref="R34" r:id="rId154"/>
    <hyperlink xmlns:r="http://schemas.openxmlformats.org/officeDocument/2006/relationships" ref="E35" r:id="rId155"/>
    <hyperlink xmlns:r="http://schemas.openxmlformats.org/officeDocument/2006/relationships" ref="M35" r:id="rId156"/>
    <hyperlink xmlns:r="http://schemas.openxmlformats.org/officeDocument/2006/relationships" ref="P35" r:id="rId157"/>
    <hyperlink xmlns:r="http://schemas.openxmlformats.org/officeDocument/2006/relationships" ref="Q35" r:id="rId158"/>
    <hyperlink xmlns:r="http://schemas.openxmlformats.org/officeDocument/2006/relationships" ref="R35" r:id="rId159"/>
    <hyperlink xmlns:r="http://schemas.openxmlformats.org/officeDocument/2006/relationships" ref="E36" r:id="rId160"/>
    <hyperlink xmlns:r="http://schemas.openxmlformats.org/officeDocument/2006/relationships" ref="P36" r:id="rId161"/>
    <hyperlink xmlns:r="http://schemas.openxmlformats.org/officeDocument/2006/relationships" ref="Q36" r:id="rId162"/>
    <hyperlink xmlns:r="http://schemas.openxmlformats.org/officeDocument/2006/relationships" ref="R36" r:id="rId163"/>
    <hyperlink xmlns:r="http://schemas.openxmlformats.org/officeDocument/2006/relationships" ref="E37" r:id="rId164"/>
    <hyperlink xmlns:r="http://schemas.openxmlformats.org/officeDocument/2006/relationships" ref="M37" r:id="rId165"/>
    <hyperlink xmlns:r="http://schemas.openxmlformats.org/officeDocument/2006/relationships" ref="P37" r:id="rId166"/>
    <hyperlink xmlns:r="http://schemas.openxmlformats.org/officeDocument/2006/relationships" ref="Q37" r:id="rId167"/>
    <hyperlink xmlns:r="http://schemas.openxmlformats.org/officeDocument/2006/relationships" ref="R37" r:id="rId168"/>
    <hyperlink xmlns:r="http://schemas.openxmlformats.org/officeDocument/2006/relationships" ref="E38" r:id="rId169"/>
    <hyperlink xmlns:r="http://schemas.openxmlformats.org/officeDocument/2006/relationships" ref="P38" r:id="rId170"/>
    <hyperlink xmlns:r="http://schemas.openxmlformats.org/officeDocument/2006/relationships" ref="Q38" r:id="rId171"/>
    <hyperlink xmlns:r="http://schemas.openxmlformats.org/officeDocument/2006/relationships" ref="R38" r:id="rId172"/>
    <hyperlink xmlns:r="http://schemas.openxmlformats.org/officeDocument/2006/relationships" ref="E39" r:id="rId173"/>
    <hyperlink xmlns:r="http://schemas.openxmlformats.org/officeDocument/2006/relationships" ref="P39" r:id="rId174"/>
    <hyperlink xmlns:r="http://schemas.openxmlformats.org/officeDocument/2006/relationships" ref="Q39" r:id="rId175"/>
    <hyperlink xmlns:r="http://schemas.openxmlformats.org/officeDocument/2006/relationships" ref="R39" r:id="rId176"/>
    <hyperlink xmlns:r="http://schemas.openxmlformats.org/officeDocument/2006/relationships" ref="E40" r:id="rId177"/>
    <hyperlink xmlns:r="http://schemas.openxmlformats.org/officeDocument/2006/relationships" ref="P40" r:id="rId178"/>
    <hyperlink xmlns:r="http://schemas.openxmlformats.org/officeDocument/2006/relationships" ref="Q40" r:id="rId179"/>
    <hyperlink xmlns:r="http://schemas.openxmlformats.org/officeDocument/2006/relationships" ref="R40" r:id="rId180"/>
    <hyperlink xmlns:r="http://schemas.openxmlformats.org/officeDocument/2006/relationships" ref="E41" r:id="rId181"/>
    <hyperlink xmlns:r="http://schemas.openxmlformats.org/officeDocument/2006/relationships" ref="M41" r:id="rId182"/>
    <hyperlink xmlns:r="http://schemas.openxmlformats.org/officeDocument/2006/relationships" ref="P41" r:id="rId183"/>
    <hyperlink xmlns:r="http://schemas.openxmlformats.org/officeDocument/2006/relationships" ref="Q41" r:id="rId184"/>
    <hyperlink xmlns:r="http://schemas.openxmlformats.org/officeDocument/2006/relationships" ref="R41" r:id="rId185"/>
    <hyperlink xmlns:r="http://schemas.openxmlformats.org/officeDocument/2006/relationships" ref="E42" r:id="rId186"/>
    <hyperlink xmlns:r="http://schemas.openxmlformats.org/officeDocument/2006/relationships" ref="M42" r:id="rId187"/>
    <hyperlink xmlns:r="http://schemas.openxmlformats.org/officeDocument/2006/relationships" ref="P42" r:id="rId188"/>
    <hyperlink xmlns:r="http://schemas.openxmlformats.org/officeDocument/2006/relationships" ref="Q42" r:id="rId189"/>
    <hyperlink xmlns:r="http://schemas.openxmlformats.org/officeDocument/2006/relationships" ref="R42" r:id="rId190"/>
    <hyperlink xmlns:r="http://schemas.openxmlformats.org/officeDocument/2006/relationships" ref="E43" r:id="rId191"/>
    <hyperlink xmlns:r="http://schemas.openxmlformats.org/officeDocument/2006/relationships" ref="P43" r:id="rId192"/>
    <hyperlink xmlns:r="http://schemas.openxmlformats.org/officeDocument/2006/relationships" ref="Q43" r:id="rId193"/>
    <hyperlink xmlns:r="http://schemas.openxmlformats.org/officeDocument/2006/relationships" ref="R43" r:id="rId1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
  <sheetViews>
    <sheetView showGridLines="1" workbookViewId="0">
      <selection activeCell="A1" sqref="A1"/>
    </sheetView>
  </sheetViews>
  <sheetFormatPr baseColWidth="8" defaultRowHeight="15"/>
  <cols>
    <col width="34" customWidth="1" min="1" max="1"/>
    <col width="32" customWidth="1" min="2" max="2"/>
    <col width="38" customWidth="1" min="3" max="3"/>
    <col width="28" customWidth="1" min="4" max="4"/>
    <col width="49" customWidth="1" min="5" max="5"/>
    <col width="17" customWidth="1" min="6" max="6"/>
    <col width="65" customWidth="1" min="7" max="7"/>
    <col width="65" customWidth="1" min="8" max="8"/>
    <col width="65" customWidth="1" min="9" max="9"/>
    <col width="65" customWidth="1" min="10" max="10"/>
    <col width="65" customWidth="1" min="11" max="11"/>
    <col width="46" customWidth="1" min="12" max="12"/>
    <col width="49" customWidth="1" min="13" max="13"/>
    <col width="18" customWidth="1" min="14" max="14"/>
    <col width="16" customWidth="1" min="15" max="15"/>
    <col width="49" customWidth="1" min="16" max="16"/>
    <col width="32" customWidth="1" min="17" max="17"/>
    <col width="49" customWidth="1" min="18" max="18"/>
  </cols>
  <sheetData>
    <row r="1">
      <c r="A1" s="1" t="inlineStr">
        <is>
          <t>Name</t>
        </is>
      </c>
      <c r="B1" s="1" t="inlineStr">
        <is>
          <t>Job Title</t>
        </is>
      </c>
      <c r="C1" s="1" t="inlineStr">
        <is>
          <t>Department</t>
        </is>
      </c>
      <c r="D1" s="1" t="inlineStr">
        <is>
          <t>University</t>
        </is>
      </c>
      <c r="E1" s="1" t="inlineStr">
        <is>
          <t>Email</t>
        </is>
      </c>
      <c r="F1" s="1" t="inlineStr">
        <is>
          <t>Matched Count</t>
        </is>
      </c>
      <c r="G1" s="1" t="inlineStr">
        <is>
          <t>Matched Fields</t>
        </is>
      </c>
      <c r="H1" s="1" t="inlineStr">
        <is>
          <t>Research Interests</t>
        </is>
      </c>
      <c r="I1" s="1" t="inlineStr">
        <is>
          <t>Expertise Areas</t>
        </is>
      </c>
      <c r="J1" s="1" t="inlineStr">
        <is>
          <t>Research / Bio Summary</t>
        </is>
      </c>
      <c r="K1" s="1" t="inlineStr">
        <is>
          <t>Education / Degrees</t>
        </is>
      </c>
      <c r="L1" s="1" t="inlineStr">
        <is>
          <t>Office Location</t>
        </is>
      </c>
      <c r="M1" s="1" t="inlineStr">
        <is>
          <t>Lab / Personal Website</t>
        </is>
      </c>
      <c r="N1" s="1" t="inlineStr">
        <is>
          <t>Is Field Match</t>
        </is>
      </c>
      <c r="O1" s="1" t="inlineStr">
        <is>
          <t>Scholar ID</t>
        </is>
      </c>
      <c r="P1" s="1" t="inlineStr">
        <is>
          <t>Profile URL</t>
        </is>
      </c>
      <c r="Q1" s="1" t="inlineStr">
        <is>
          <t>Google Scholar URL</t>
        </is>
      </c>
      <c r="R1" s="1" t="inlineStr">
        <is>
          <t>Directory URL</t>
        </is>
      </c>
    </row>
    <row r="2">
      <c r="A2" s="2" t="inlineStr">
        <is>
          <t>Liping Wang</t>
        </is>
      </c>
      <c r="B2" s="2" t="inlineStr">
        <is>
          <t>Associate Professor</t>
        </is>
      </c>
      <c r="C2" s="2" t="inlineStr">
        <is>
          <t>Aerospace &amp; Mechanical Engineering</t>
        </is>
      </c>
      <c r="D2" s="2" t="inlineStr">
        <is>
          <t>Arizona State University</t>
        </is>
      </c>
      <c r="E2" s="3">
        <f>HYPERLINK("mailto:Liping.Wang@asu.edu", "Liping.Wang@asu.edu")</f>
        <v/>
      </c>
      <c r="F2" s="2" t="n">
        <v>7</v>
      </c>
      <c r="G2" s="2" t="inlineStr">
        <is>
          <t>aerospace, guidance, heat transfer, materials, metamaterials, radiation, thermal</t>
        </is>
      </c>
      <c r="H2"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I2" s="2" t="inlineStr"/>
      <c r="J2" s="2" t="inlineStr">
        <is>
          <t>Wang research interests include selective control of thermal emission/absorption using meta-materials for energy harvesting and near-field radiation heat transfer enhancement between meta-materials for thermophotovoltaics.</t>
        </is>
      </c>
      <c r="K2"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L2" s="2" t="inlineStr">
        <is>
          <t>ENGRC 327 (Tempe, AZ 85287-6106)</t>
        </is>
      </c>
      <c r="M2" s="3">
        <f>HYPERLINK("http://faculty.engineering.asu.edu/lpwang", "http://faculty.engineering.asu.edu/lpwang")</f>
        <v/>
      </c>
      <c r="N2" s="2" t="b">
        <v>1</v>
      </c>
      <c r="O2" s="2" t="inlineStr"/>
      <c r="P2" s="3">
        <f>HYPERLINK("https://search.asu.edu/profile/lwang78", "https://search.asu.edu/profile/lwang78")</f>
        <v/>
      </c>
      <c r="Q2" s="3">
        <f>HYPERLINK("https://scholar.google.com/citations?view_op=search_authors&amp;mauthors=Liping%20Wang%20Arizona%20State%20University", "Google Scholar Search")</f>
        <v/>
      </c>
      <c r="R2" s="3">
        <f>HYPERLINK("https://faculty.engineering.asu.edu/directory/semte/aerospace-and-mechanical-engineering/", "https://faculty.engineering.asu.edu/directory/semte/aerospace-and-mechanical-engineering/")</f>
        <v/>
      </c>
    </row>
    <row r="3">
      <c r="A3" s="2" t="inlineStr">
        <is>
          <t>Mohamed Houssem Kasbaoui</t>
        </is>
      </c>
      <c r="B3" s="2" t="inlineStr">
        <is>
          <t>Associate Professor</t>
        </is>
      </c>
      <c r="C3" s="2" t="inlineStr">
        <is>
          <t>Aerospace &amp; Mechanical Engineering</t>
        </is>
      </c>
      <c r="D3" s="2" t="inlineStr">
        <is>
          <t>Arizona State University</t>
        </is>
      </c>
      <c r="E3" s="3">
        <f>HYPERLINK("mailto:houssem.kasbaoui@asu.edu", "houssem.kasbaoui@asu.edu")</f>
        <v/>
      </c>
      <c r="F3" s="2" t="n">
        <v>7</v>
      </c>
      <c r="G3" s="2" t="inlineStr">
        <is>
          <t>aerospace, cfd, computational fluid dynamics, dns, fluid dynamics, multiphase flow, turbulent</t>
        </is>
      </c>
      <c r="H3" s="2" t="inlineStr"/>
      <c r="I3" s="2" t="inlineStr"/>
      <c r="J3" s="2" t="inlineStr">
        <is>
          <t>Kasbaoui's research interests include computational fluid dynamics, numerical methods, and massively parallel simulations of multiphase and particle-laden flows for environmental and aerospace applications.</t>
        </is>
      </c>
      <c r="K3"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L3" s="2" t="inlineStr">
        <is>
          <t>Campus: Tempe</t>
        </is>
      </c>
      <c r="M3" s="3">
        <f>HYPERLINK("https://kasbaoui.bitbucket.io", "https://kasbaoui.bitbucket.io")</f>
        <v/>
      </c>
      <c r="N3" s="2" t="b">
        <v>1</v>
      </c>
      <c r="O3" s="2" t="inlineStr"/>
      <c r="P3" s="3">
        <f>HYPERLINK("https://search.asu.edu/profile/mkasbaou", "https://search.asu.edu/profile/mkasbaou")</f>
        <v/>
      </c>
      <c r="Q3" s="3">
        <f>HYPERLINK("https://scholar.google.com/citations?view_op=search_authors&amp;mauthors=Mohamed%20Houssem%20Kasbaoui%20Arizona%20State%20University", "Google Scholar Search")</f>
        <v/>
      </c>
      <c r="R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2" t="inlineStr">
        <is>
          <t>Aerospace &amp; Mechanical Engineering</t>
        </is>
      </c>
      <c r="D4" s="2" t="inlineStr">
        <is>
          <t>Arizona State University</t>
        </is>
      </c>
      <c r="E4" s="3">
        <f>HYPERLINK("mailto:joswald1@asu.edu", "joswald1@asu.edu")</f>
        <v/>
      </c>
      <c r="F4" s="2" t="n">
        <v>6</v>
      </c>
      <c r="G4" s="2" t="inlineStr">
        <is>
          <t>estimation, finite element, materials, robot, robotics, solid mechanics</t>
        </is>
      </c>
      <c r="H4" s="2" t="inlineStr">
        <is>
          <t>Development of computational mechanics: finite element methods, molecular dynamics, multiscale methods, failure analysis, and material design.</t>
        </is>
      </c>
      <c r="I4" s="2" t="inlineStr"/>
      <c r="J4" s="2" t="inlineStr">
        <is>
          <t>Dr. Oswald develops computational and AI-driven methods for advanced manufacturing, including laser welding, automated inspection, robotics, and computational mechanics.</t>
        </is>
      </c>
      <c r="K4" s="2" t="inlineStr">
        <is>
          <t>Ph.D. Mechanical Engineering, Northwestern University, Evanston, IL 2011 | M.S. Mechanical Engineering, Case Western Reserve University, Cleveland, OH 2005 | B.S. Mechanical Engineering, Case Western Reserve University, Cleveland, OH 2004</t>
        </is>
      </c>
      <c r="L4" s="2" t="inlineStr">
        <is>
          <t>ENGRC 353 (Tempe, AZ 85287-6106)</t>
        </is>
      </c>
      <c r="M4" s="3">
        <f>HYPERLINK("http://sparky.fulton.asu.edu/oswald/", "http://sparky.fulton.asu.edu/oswald/")</f>
        <v/>
      </c>
      <c r="N4" s="2" t="b">
        <v>1</v>
      </c>
      <c r="O4" s="2" t="inlineStr"/>
      <c r="P4" s="3">
        <f>HYPERLINK("https://search.asu.edu/profile/joswald1", "https://search.asu.edu/profile/joswald1")</f>
        <v/>
      </c>
      <c r="Q4" s="3">
        <f>HYPERLINK("https://scholar.google.com/citations?view_op=search_authors&amp;mauthors=Jay%20Oswald%20Arizona%20State%20University", "Google Scholar Search")</f>
        <v/>
      </c>
      <c r="R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2" t="inlineStr">
        <is>
          <t>Aerospace &amp; Mechanical Engineering</t>
        </is>
      </c>
      <c r="D5" s="2" t="inlineStr">
        <is>
          <t>Arizona State University</t>
        </is>
      </c>
      <c r="E5" s="3">
        <f>HYPERLINK("mailto:Jiefeng.Sun@asu.edu", "Jiefeng.Sun@asu.edu")</f>
        <v/>
      </c>
      <c r="F5" s="2" t="n">
        <v>6</v>
      </c>
      <c r="G5" s="2" t="inlineStr">
        <is>
          <t>aerospace, autonomous, materials, robot, robotics, smart materials</t>
        </is>
      </c>
      <c r="H5" s="2" t="inlineStr">
        <is>
          <t>Hire students to conduct research https://sunroboticslab.github.io</t>
        </is>
      </c>
      <c r="I5" s="2" t="inlineStr">
        <is>
          <t>Autonomous Technologies, Control Systems, Mechanical Engineering, Robotics</t>
        </is>
      </c>
      <c r="J5" s="2" t="inlineStr">
        <is>
          <t>Sun's research focuses on the design, dynamics, and control of soft robots and artificial muscles</t>
        </is>
      </c>
      <c r="K5" s="2" t="inlineStr">
        <is>
          <t>Ph.D. in Robotics and Control, Colorado State University, 2022 M.S. in Mechanical Engineering, Dalian University of Technology, 2017 B.S. in Mechanical Engineering, Lanzhou University of Technology, 2014</t>
        </is>
      </c>
      <c r="L5" s="2" t="inlineStr">
        <is>
          <t>Campus: Tempe</t>
        </is>
      </c>
      <c r="M5" s="3">
        <f>HYPERLINK("https://sunroboticslab.github.io", "https://sunroboticslab.github.io")</f>
        <v/>
      </c>
      <c r="N5" s="2" t="b">
        <v>1</v>
      </c>
      <c r="O5" s="2" t="inlineStr">
        <is>
          <t>fjUoHOsAAAAJ</t>
        </is>
      </c>
      <c r="P5" s="3">
        <f>HYPERLINK("https://search.asu.edu/profile/jsun165", "https://search.asu.edu/profile/jsun165")</f>
        <v/>
      </c>
      <c r="Q5" s="3">
        <f>HYPERLINK("https://scholar.google.com/citations?hl=en&amp;user=fjUoHOsAAAAJ", "Scholar (fjUoHOsAAAAJ)")</f>
        <v/>
      </c>
      <c r="R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2" t="inlineStr">
        <is>
          <t>Aerospace &amp; Mechanical Engineering</t>
        </is>
      </c>
      <c r="D6" s="2" t="inlineStr">
        <is>
          <t>Arizona State University</t>
        </is>
      </c>
      <c r="E6" s="3">
        <f>HYPERLINK("mailto:k.p.chen@asu.edu", "k.p.chen@asu.edu")</f>
        <v/>
      </c>
      <c r="F6" s="2" t="n">
        <v>6</v>
      </c>
      <c r="G6" s="2" t="inlineStr">
        <is>
          <t>aerospace, computational fluid dynamics, fluid dynamics, fluid mechanics, guidance, multiphase flow</t>
        </is>
      </c>
      <c r="H6" s="2" t="inlineStr"/>
      <c r="I6" s="2" t="inlineStr"/>
      <c r="J6" s="2" t="inlineStr">
        <is>
          <t>Chen’s research interests include multiphase flows, drag reduction, airplane de-icing, interfacial instabilities and flow in porous media.</t>
        </is>
      </c>
      <c r="K6" s="2" t="inlineStr">
        <is>
          <t>Ph.D. Fluid Mechanics, University of Minnesota 1990 | B.S. Mechanics, Peking University, China 1982</t>
        </is>
      </c>
      <c r="L6" s="2" t="inlineStr"/>
      <c r="M6" s="2" t="inlineStr"/>
      <c r="N6" s="2" t="b">
        <v>1</v>
      </c>
      <c r="O6" s="2" t="inlineStr">
        <is>
          <t>xT-lX9sAAAAJ</t>
        </is>
      </c>
      <c r="P6" s="3">
        <f>HYPERLINK("https://search.asu.edu/profile/asuchen", "https://search.asu.edu/profile/asuchen")</f>
        <v/>
      </c>
      <c r="Q6" s="3">
        <f>HYPERLINK("https://scholar.google.com/citations?hl=en&amp;user=xT-lX9sAAAAJ", "Scholar (xT-lX9sAAAAJ)")</f>
        <v/>
      </c>
      <c r="R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2" t="inlineStr">
        <is>
          <t>Aerospace &amp; Mechanical Engineering</t>
        </is>
      </c>
      <c r="D7" s="2" t="inlineStr">
        <is>
          <t>Arizona State University</t>
        </is>
      </c>
      <c r="E7" s="3">
        <f>HYPERLINK("mailto:Kiran.Ramesh@asu.edu", "Kiran.Ramesh@asu.edu")</f>
        <v/>
      </c>
      <c r="F7" s="2" t="n">
        <v>6</v>
      </c>
      <c r="G7" s="2" t="inlineStr">
        <is>
          <t>aerodynamics, aerospace, flow control, fluid dynamics, turbulence, vortex dynamics</t>
        </is>
      </c>
      <c r="H7" s="2" t="inlineStr">
        <is>
          <t>Unsteady aerodynamics, vortex dynamics, flow control, turbulence, separated flows</t>
        </is>
      </c>
      <c r="I7" s="2" t="inlineStr"/>
      <c r="J7" s="2" t="inlineStr">
        <is>
          <t>Ramesh's expertise is in unsteady fluid dynamics, vortex dynamics, turbulence and flow control.</t>
        </is>
      </c>
      <c r="K7" s="2" t="inlineStr">
        <is>
          <t>PhD North Carolina State University</t>
        </is>
      </c>
      <c r="L7" s="2" t="inlineStr"/>
      <c r="M7" s="2" t="inlineStr"/>
      <c r="N7" s="2" t="b">
        <v>1</v>
      </c>
      <c r="O7" s="2" t="inlineStr">
        <is>
          <t>DKc-AgcAAAAJ</t>
        </is>
      </c>
      <c r="P7" s="3">
        <f>HYPERLINK("https://search.asu.edu/profile/kramesh2", "https://search.asu.edu/profile/kramesh2")</f>
        <v/>
      </c>
      <c r="Q7" s="3">
        <f>HYPERLINK("https://scholar.google.com/citations?hl=en&amp;user=DKc-AgcAAAAJ", "Scholar (DKc-AgcAAAAJ)")</f>
        <v/>
      </c>
      <c r="R7" s="3">
        <f>HYPERLINK("https://faculty.engineering.asu.edu/directory/semte/aerospace-and-mechanical-engineering/", "https://faculty.engineering.asu.edu/directory/semte/aerospace-and-mechanical-engineering/")</f>
        <v/>
      </c>
    </row>
    <row r="8">
      <c r="A8" s="2" t="inlineStr">
        <is>
          <t>Leixin Ma</t>
        </is>
      </c>
      <c r="B8" s="2" t="inlineStr">
        <is>
          <t>Assistant Professor</t>
        </is>
      </c>
      <c r="C8" s="2" t="inlineStr">
        <is>
          <t>Aerospace &amp; Mechanical Engineering</t>
        </is>
      </c>
      <c r="D8" s="2" t="inlineStr">
        <is>
          <t>Arizona State University</t>
        </is>
      </c>
      <c r="E8" s="3">
        <f>HYPERLINK("mailto:Leixin.Ma@asu.edu", "Leixin.Ma@asu.edu")</f>
        <v/>
      </c>
      <c r="F8" s="2" t="n">
        <v>6</v>
      </c>
      <c r="G8" s="2" t="inlineStr">
        <is>
          <t>aerodynamics, aerospace, fluid-structure interaction, fluids, materials, robot</t>
        </is>
      </c>
      <c r="H8" s="2" t="inlineStr">
        <is>
          <t>Aerodynamics, Dynamical Systems, Machine Learning, Mechanics of Composite Materials</t>
        </is>
      </c>
      <c r="I8" s="2" t="inlineStr">
        <is>
          <t>Aerodynamics, Dynamical Systems, Machine Learning, Mechanics of Composite Materials</t>
        </is>
      </c>
      <c r="J8" s="2" t="inlineStr">
        <is>
          <t>Leixin Ma's career goal is a data-driven and physically consistent approach to modeling and designing programmable smart structures and robots, especially under complex fluid flow conditions.</t>
        </is>
      </c>
      <c r="K8" s="2" t="inlineStr">
        <is>
          <t>Ph.D. in Mechanical Engineering, Massachusetts Institute of Technology, 2021 S.M. in Mechanical Engineering, Massachusetts Institute of Technology, 2017 B.S.E. in Naval Architecture and Ocean Engineering, Shanghai Jiao Tong University, 2015</t>
        </is>
      </c>
      <c r="L8" s="2" t="inlineStr"/>
      <c r="M8" s="3">
        <f>HYPERLINK("https://sites.google.com/view/oasislabasu", "https://sites.google.com/view/oasislabasu")</f>
        <v/>
      </c>
      <c r="N8" s="2" t="b">
        <v>1</v>
      </c>
      <c r="O8" s="2" t="inlineStr">
        <is>
          <t>2xQTOc0AAAAJ</t>
        </is>
      </c>
      <c r="P8" s="3">
        <f>HYPERLINK("https://search.asu.edu/profile/leixinma", "https://search.asu.edu/profile/leixinma")</f>
        <v/>
      </c>
      <c r="Q8" s="3">
        <f>HYPERLINK("https://scholar.google.com/citations?hl=en&amp;user=2xQTOc0AAAAJ", "Scholar (2xQTOc0AAAAJ)")</f>
        <v/>
      </c>
      <c r="R8" s="3">
        <f>HYPERLINK("https://faculty.engineering.asu.edu/directory/semte/aerospace-and-mechanical-engineering/", "https://faculty.engineering.asu.edu/directory/semte/aerospace-and-mechanical-engineering/")</f>
        <v/>
      </c>
    </row>
    <row r="9">
      <c r="A9" s="2" t="inlineStr">
        <is>
          <t>Gokul Pathikonda</t>
        </is>
      </c>
      <c r="B9" s="2" t="inlineStr">
        <is>
          <t>Assistant Professor</t>
        </is>
      </c>
      <c r="C9" s="2" t="inlineStr">
        <is>
          <t>Aerospace &amp; Mechanical Engineering</t>
        </is>
      </c>
      <c r="D9" s="2" t="inlineStr">
        <is>
          <t>Arizona State University</t>
        </is>
      </c>
      <c r="E9" s="3">
        <f>HYPERLINK("mailto:Gokul.Pathikonda@asu.edu", "Gokul.Pathikonda@asu.edu")</f>
        <v/>
      </c>
      <c r="F9" s="2" t="n">
        <v>5</v>
      </c>
      <c r="G9" s="2" t="inlineStr">
        <is>
          <t>aerodynamics, aerospace, reacting flow, turbulence, turbulent</t>
        </is>
      </c>
      <c r="H9" s="2" t="inlineStr">
        <is>
          <t>Aerodynamics, Aerospace Engineering, Mechanical Engineering</t>
        </is>
      </c>
      <c r="I9" s="2" t="inlineStr">
        <is>
          <t>Aerodynamics, Aerospace Engineering, Mechanical Engineering</t>
        </is>
      </c>
      <c r="J9" s="2" t="inlineStr">
        <is>
          <t>Dr. Pathikonda studies turbulent fluid flows to understand natural and engineering phenomena using lab experiments. His expertise is in complex (reacting) mixing, high Re-flows, laser-based &amp; spectroscopic techniques, etc.</t>
        </is>
      </c>
      <c r="K9" s="2" t="inlineStr">
        <is>
          <t>Ph. D. Theoretical and Applied Mechanics, University of Illinois, Urbana Champaign, 2017 | MS Aerospace Engineering, University of Illinois, Urbana Champaign, 2013 | B. Tech. Mechanical Engineering, National Institute of Technology, Warangal, 2009</t>
        </is>
      </c>
      <c r="L9" s="2" t="inlineStr">
        <is>
          <t>551 E Tyler Mall ERC 479 (Tempe, AZ 85281)</t>
        </is>
      </c>
      <c r="M9" s="3">
        <f>HYPERLINK("https://faculty.engineering.asu.edu/cmat/", "https://faculty.engineering.asu.edu/cmat/")</f>
        <v/>
      </c>
      <c r="N9" s="2" t="b">
        <v>1</v>
      </c>
      <c r="O9" s="2" t="inlineStr"/>
      <c r="P9" s="3">
        <f>HYPERLINK("https://search.asu.edu/profile/gpathiko", "https://search.asu.edu/profile/gpathiko")</f>
        <v/>
      </c>
      <c r="Q9" s="3">
        <f>HYPERLINK("https://scholar.google.com/citations?view_op=search_authors&amp;mauthors=Gokul%20Pathikonda%20Arizona%20State%20University", "Google Scholar Search")</f>
        <v/>
      </c>
      <c r="R9" s="3">
        <f>HYPERLINK("https://faculty.engineering.asu.edu/directory/semte/aerospace-and-mechanical-engineering/", "https://faculty.engineering.asu.edu/directory/semte/aerospace-and-mechanical-engineering/")</f>
        <v/>
      </c>
    </row>
    <row r="10">
      <c r="A10" s="2" t="inlineStr">
        <is>
          <t>Kunal Garg</t>
        </is>
      </c>
      <c r="B10" s="2" t="inlineStr">
        <is>
          <t>Assistant Professor</t>
        </is>
      </c>
      <c r="C10" s="2" t="inlineStr">
        <is>
          <t>Aerospace &amp; Mechanical Engineering</t>
        </is>
      </c>
      <c r="D10" s="2" t="inlineStr">
        <is>
          <t>Arizona State University</t>
        </is>
      </c>
      <c r="E10" s="3">
        <f>HYPERLINK("mailto:kgarg24@asu.edu", "kgarg24@asu.edu")</f>
        <v/>
      </c>
      <c r="F10" s="2" t="n">
        <v>5</v>
      </c>
      <c r="G10" s="2" t="inlineStr">
        <is>
          <t>aerospace, control theory, motion planning, robot, robotics</t>
        </is>
      </c>
      <c r="H10" s="2" t="inlineStr">
        <is>
          <t>Distributed multi-agent motion planning and control, Provably safe control design using machine learning-based certificates, Foundation models in complex robotic tasks, Failure prediction from limited demonstrations, Human-robot interaction.</t>
        </is>
      </c>
      <c r="I10" s="2" t="inlineStr">
        <is>
          <t>Control Systems, Dynamical Systems, Machine Learning, Nonlinear Dynamical Systems, Robotics</t>
        </is>
      </c>
      <c r="J10" s="2" t="inlineStr">
        <is>
          <t>Garg's research interests include control synthesis for multi-agent coordination using control theory and machine learning.</t>
        </is>
      </c>
      <c r="K10" s="2" t="inlineStr">
        <is>
          <t>PhD. Aerospace Engineering, University of Michigan, Ann Arbor, 2021 MS. Aerospace Engineering, University of Michigan, Ann Arbor, 2019 BTech. Aerospace Engineering, Indian Institute of Technology, Bombay, 2016</t>
        </is>
      </c>
      <c r="L10" s="2" t="inlineStr">
        <is>
          <t>551 E Tyler Mall ERC 475 (Tempe, AZ 85281)</t>
        </is>
      </c>
      <c r="M10" s="3">
        <f>HYPERLINK("https://sites.google.com/asu.edu/kunalgarg/", "https://sites.google.com/asu.edu/kunalgarg/")</f>
        <v/>
      </c>
      <c r="N10" s="2" t="b">
        <v>1</v>
      </c>
      <c r="O10" s="2" t="inlineStr">
        <is>
          <t>vs3pl-8AAAAJ</t>
        </is>
      </c>
      <c r="P10" s="3">
        <f>HYPERLINK("https://search.asu.edu/profile/kgarg24", "https://search.asu.edu/profile/kgarg24")</f>
        <v/>
      </c>
      <c r="Q10" s="3">
        <f>HYPERLINK("https://scholar.google.com/citations?hl=en&amp;user=vs3pl-8AAAAJ", "Scholar (vs3pl-8AAAAJ)")</f>
        <v/>
      </c>
      <c r="R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2" t="inlineStr">
        <is>
          <t>Aerospace &amp; Mechanical Engineering</t>
        </is>
      </c>
      <c r="D11" s="2" t="inlineStr">
        <is>
          <t>Arizona State University</t>
        </is>
      </c>
      <c r="E11" s="3">
        <f>HYPERLINK("mailto:Marcus.Herrmann@asu.edu", "Marcus.Herrmann@asu.edu")</f>
        <v/>
      </c>
      <c r="F11" s="2" t="n">
        <v>5</v>
      </c>
      <c r="G11" s="2" t="inlineStr">
        <is>
          <t>aerospace, fluid mechanics, multiphase flow, turbulence, turbulent</t>
        </is>
      </c>
      <c r="H11" s="2" t="inlineStr"/>
      <c r="I11" s="2" t="inlineStr"/>
      <c r="J11" s="2" t="inlineStr">
        <is>
          <t>Herrmann's research interests include fluid mechanics, modeling and numerical simulation of multiphase flows with a focus on turbulent atomization processes, and numerical methods for discontinuous interfaces.</t>
        </is>
      </c>
      <c r="K11" s="2" t="inlineStr">
        <is>
          <t>PhD in Mechanical Engineering, University of Technology (RWTH) Aachen, Germany 2001 | Diploma. Mechanical and Aerospace Engineering, University of Technology (RWTH) Aachen, Germany 1995</t>
        </is>
      </c>
      <c r="L11" s="2" t="inlineStr"/>
      <c r="M11" s="2" t="inlineStr"/>
      <c r="N11" s="2" t="b">
        <v>1</v>
      </c>
      <c r="O11" s="2" t="inlineStr">
        <is>
          <t>yv6aCW8AAAAJ</t>
        </is>
      </c>
      <c r="P11" s="3">
        <f>HYPERLINK("https://search.asu.edu/profile/mherrma1", "https://search.asu.edu/profile/mherrma1")</f>
        <v/>
      </c>
      <c r="Q11" s="3">
        <f>HYPERLINK("https://scholar.google.com/citations?hl=en&amp;user=yv6aCW8AAAAJ", "Scholar (yv6aCW8AAAAJ)")</f>
        <v/>
      </c>
      <c r="R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2" t="inlineStr">
        <is>
          <t>Aerospace &amp; Mechanical Engineering</t>
        </is>
      </c>
      <c r="D12" s="2" t="inlineStr">
        <is>
          <t>Arizona State University</t>
        </is>
      </c>
      <c r="E12" s="3">
        <f>HYPERLINK("mailto:Spring.Berman@asu.edu", "Spring.Berman@asu.edu")</f>
        <v/>
      </c>
      <c r="F12" s="2" t="n">
        <v>5</v>
      </c>
      <c r="G12" s="2" t="inlineStr">
        <is>
          <t>aerospace, autonomous, control theory, robot, robotics</t>
        </is>
      </c>
      <c r="H12" s="2" t="inlineStr">
        <is>
          <t>Modeling, analysis, control, and optimization of multi-robot systems including robotic swarms; analysis of collective behaviors in biology and biologically-inspired control of distributed systems</t>
        </is>
      </c>
      <c r="I12" s="2" t="inlineStr">
        <is>
          <t>Systems and Control Theory, Mechanical Engineering, Autonomous Technologies, Robotics</t>
        </is>
      </c>
      <c r="J12" s="2" t="inlineStr">
        <is>
          <t>Dr. Berman directs the Autonomous Collective Systems Laboratory at ASU, which models and analyzes behaviors in biological and engineered collectives and designs control strategies for multi-robot systems.</t>
        </is>
      </c>
      <c r="K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L12" s="2" t="inlineStr"/>
      <c r="M12" s="3">
        <f>HYPERLINK("http://faculty.engineering.asu.edu/acs/", "http://faculty.engineering.asu.edu/acs/")</f>
        <v/>
      </c>
      <c r="N12" s="2" t="b">
        <v>1</v>
      </c>
      <c r="O12" s="2" t="inlineStr">
        <is>
          <t>KKup0OgAAAAJ</t>
        </is>
      </c>
      <c r="P12" s="3">
        <f>HYPERLINK("https://search.asu.edu/profile/smberma2", "https://search.asu.edu/profile/smberma2")</f>
        <v/>
      </c>
      <c r="Q12" s="3">
        <f>HYPERLINK("https://scholar.google.com/citations?hl=en&amp;user=KKup0OgAAAAJ", "Scholar (KKup0OgAAAAJ)")</f>
        <v/>
      </c>
      <c r="R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2" t="inlineStr">
        <is>
          <t>Aerospace &amp; Mechanical Engineering</t>
        </is>
      </c>
      <c r="D13" s="2" t="inlineStr">
        <is>
          <t>Arizona State University</t>
        </is>
      </c>
      <c r="E13" s="3">
        <f>HYPERLINK("mailto:xzhe1@asu.edu", "xzhe1@asu.edu")</f>
        <v/>
      </c>
      <c r="F13" s="2" t="n">
        <v>5</v>
      </c>
      <c r="G13" s="2" t="inlineStr">
        <is>
          <t>autonomous, control theory, energy systems, robot, robotics</t>
        </is>
      </c>
      <c r="H13" s="2" t="inlineStr">
        <is>
          <t>The research interests include control theory, machine learning, formal methods and autonomous systems.</t>
        </is>
      </c>
      <c r="I13" s="2" t="inlineStr">
        <is>
          <t>Artificial Intelligence, Control Systems, Electric Power and Energy Systems, Machine Learning, Robotics, Systems and Control Theory</t>
        </is>
      </c>
      <c r="J13" s="2" t="inlineStr">
        <is>
          <t>My research interests include control theory, formal methods, and machine learning (including reinforcement learning), with applications on autonomous systems and cyber-physical systems.</t>
        </is>
      </c>
      <c r="K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L13" s="2" t="inlineStr">
        <is>
          <t>Campus: Tempe</t>
        </is>
      </c>
      <c r="M13" s="3">
        <f>HYPERLINK("https://sites.google.com/site/zhexudavid00710/research?authuser=0", "https://sites.google.com/site/zhexudavid00710/research?authuser=0")</f>
        <v/>
      </c>
      <c r="N13" s="2" t="b">
        <v>1</v>
      </c>
      <c r="O13" s="2" t="inlineStr"/>
      <c r="P13" s="3">
        <f>HYPERLINK("https://search.asu.edu/profile/xzhe1", "https://search.asu.edu/profile/xzhe1")</f>
        <v/>
      </c>
      <c r="Q13" s="3">
        <f>HYPERLINK("https://scholar.google.com/citations?view_op=search_authors&amp;mauthors=Zhe%20Xu%20Arizona%20State%20University", "Google Scholar Search")</f>
        <v/>
      </c>
      <c r="R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2" t="inlineStr">
        <is>
          <t>Aerospace &amp; Mechanical Engineering</t>
        </is>
      </c>
      <c r="D14" s="2" t="inlineStr">
        <is>
          <t>Arizona State University</t>
        </is>
      </c>
      <c r="E14" s="3">
        <f>HYPERLINK("mailto:jeokim@asu.edu", "jeokim@asu.edu")</f>
        <v/>
      </c>
      <c r="F14" s="2" t="n">
        <v>4</v>
      </c>
      <c r="G14" s="2" t="inlineStr">
        <is>
          <t>aerospace, flow control, turbulence, turbulent</t>
        </is>
      </c>
      <c r="H14" s="2" t="inlineStr"/>
      <c r="I14" s="2" t="inlineStr"/>
      <c r="J14" s="2" t="inlineStr">
        <is>
          <t>Kim's research interests include large-eddy simulation of high-speed turbulent flows with multi-physics, aeroacoustics, flow control and optimization.</t>
        </is>
      </c>
      <c r="K14" s="2" t="inlineStr">
        <is>
          <t>Ph.D. Theoretical and Applied Mechanics, University of Illinois at Urbana-Champaign | M.S. Mechanical and Aerospace Engineering, Seoul National University, South Korea | B.S. Mechanical and Aerospace Engineering, Seoul National University, South Korea</t>
        </is>
      </c>
      <c r="L14" s="2" t="inlineStr"/>
      <c r="M14" s="2" t="inlineStr"/>
      <c r="N14" s="2" t="b">
        <v>1</v>
      </c>
      <c r="O14" s="2" t="inlineStr"/>
      <c r="P14" s="3">
        <f>HYPERLINK("https://search.asu.edu/profile/jkim520", "https://search.asu.edu/profile/jkim520")</f>
        <v/>
      </c>
      <c r="Q14" s="3">
        <f>HYPERLINK("https://scholar.google.com/citations?view_op=search_authors&amp;mauthors=Jeonglae%20Kim%20Arizona%20State%20University", "Google Scholar Search")</f>
        <v/>
      </c>
      <c r="R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2" t="inlineStr">
        <is>
          <t>Aerospace &amp; Mechanical Engineering</t>
        </is>
      </c>
      <c r="D15" s="2" t="inlineStr">
        <is>
          <t>Arizona State University</t>
        </is>
      </c>
      <c r="E15" s="3">
        <f>HYPERLINK("mailto:mpeet@asu.edu", "mpeet@asu.edu")</f>
        <v/>
      </c>
      <c r="F15" s="2" t="n">
        <v>4</v>
      </c>
      <c r="G15" s="2" t="inlineStr">
        <is>
          <t>aerospace, materials, spacecraft, system dynamics</t>
        </is>
      </c>
      <c r="H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I15" s="2" t="inlineStr">
        <is>
          <t>Control Systems, Dynamical Systems Theory, Aerospace Engineering, Algorithm Development, Dynamical Systems, Nonlinear Dynamical Systems, Mathematical and System Dynamics Modeling, Immunology</t>
        </is>
      </c>
      <c r="J15" s="2" t="inlineStr">
        <is>
          <t>Peet's current research interests are in the role of computation as it is applied to the understanding and control of complex and large-scale systems.</t>
        </is>
      </c>
      <c r="K15" s="2" t="inlineStr">
        <is>
          <t>Ph.D. Aeronautics and Astronautics, Stanford University 2006 | Bachelor's degree. Physics, University of Texas-Austin 1999 | Bachelor's degree. Aerospace Engineering, University of Texas-Austin 1999</t>
        </is>
      </c>
      <c r="L15" s="2" t="inlineStr"/>
      <c r="M15" s="3">
        <f>HYPERLINK("http://control.asu.edu/", "http://control.asu.edu/")</f>
        <v/>
      </c>
      <c r="N15" s="2" t="b">
        <v>1</v>
      </c>
      <c r="O15" s="2" t="inlineStr"/>
      <c r="P15" s="3">
        <f>HYPERLINK("https://search.asu.edu/profile/mpeet", "https://search.asu.edu/profile/mpeet")</f>
        <v/>
      </c>
      <c r="Q15" s="3">
        <f>HYPERLINK("https://scholar.google.com/citations?view_op=search_authors&amp;mauthors=Matthew%20Peet%20Arizona%20State%20University", "Google Scholar Search")</f>
        <v/>
      </c>
      <c r="R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2" t="inlineStr">
        <is>
          <t>Aerospace &amp; Mechanical Engineering</t>
        </is>
      </c>
      <c r="D16" s="2" t="inlineStr">
        <is>
          <t>Arizona State University</t>
        </is>
      </c>
      <c r="E16" s="3">
        <f>HYPERLINK("mailto:rywang@asu.edu", "rywang@asu.edu")</f>
        <v/>
      </c>
      <c r="F16" s="2" t="n">
        <v>4</v>
      </c>
      <c r="G16" s="2" t="inlineStr">
        <is>
          <t>composites, heat transfer, materials, thermal</t>
        </is>
      </c>
      <c r="H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I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J16" s="2" t="inlineStr">
        <is>
          <t>Wang's research interests include thermal energy conversion, storage, and transport in nanostructured materials; thermoelectric power generation; thermal storage media; heat transfer, and phonon optics</t>
        </is>
      </c>
      <c r="K16" s="2" t="inlineStr">
        <is>
          <t>Ph.D. Mechanical Engineering, University of California-Berkeley 2008 | M.S. Mechanical Engineering, University of California-Berkeley 2005 | B.S. Mechanical Engineering, University of California-Los Angeles 2003</t>
        </is>
      </c>
      <c r="L16" s="2" t="inlineStr"/>
      <c r="M16" s="3">
        <f>HYPERLINK("http://wang.faculty.asu.edu/", "http://wang.faculty.asu.edu/")</f>
        <v/>
      </c>
      <c r="N16" s="2" t="b">
        <v>1</v>
      </c>
      <c r="O16" s="2" t="inlineStr">
        <is>
          <t>LaUdx9gAAAAJ</t>
        </is>
      </c>
      <c r="P16" s="3">
        <f>HYPERLINK("https://search.asu.edu/profile/rywang", "https://search.asu.edu/profile/rywang")</f>
        <v/>
      </c>
      <c r="Q16" s="3">
        <f>HYPERLINK("https://scholar.google.com/citations?hl=en&amp;user=LaUdx9gAAAAJ", "Scholar (LaUdx9gAAAAJ)")</f>
        <v/>
      </c>
      <c r="R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2" t="inlineStr">
        <is>
          <t>Aerospace &amp; Mechanical Engineering</t>
        </is>
      </c>
      <c r="D17" s="2" t="inlineStr">
        <is>
          <t>Arizona State University</t>
        </is>
      </c>
      <c r="E17" s="3">
        <f>HYPERLINK("mailto:Ryan.Milcarek@asu.edu", "Ryan.Milcarek@asu.edu")</f>
        <v/>
      </c>
      <c r="F17" s="2" t="n">
        <v>4</v>
      </c>
      <c r="G17" s="2" t="inlineStr">
        <is>
          <t>aerospace, combustion, energy systems, materials</t>
        </is>
      </c>
      <c r="H17" s="2" t="inlineStr">
        <is>
          <t>Energy management and efficiency, energy transition, energy storage, solid oxide fuel cells, partial oxidation, cogeneration, combustion, and synthesis of hydrogen</t>
        </is>
      </c>
      <c r="I17" s="2" t="inlineStr">
        <is>
          <t>Ceramics, Electrochemistry, Energy, Energy and Sustainability, Energy Conservation, Energy Economics, Energy Efficiency Technologies, Thin Film Materials</t>
        </is>
      </c>
      <c r="J17" s="2" t="inlineStr">
        <is>
          <t>Milcarek's current research focuses on energy management and efficiency, energy system modeling, energy transition, energy storage, solid oxide fuel cells fabrication and testing, partial oxidation and synthesis of hydrogen.</t>
        </is>
      </c>
      <c r="K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L17" s="2" t="inlineStr"/>
      <c r="M17" s="3">
        <f>HYPERLINK("http://RESEARCHGATE.net/profile/Ryan_Milcarek", "http://RESEARCHGATE.net/profile/Ryan_Milcarek")</f>
        <v/>
      </c>
      <c r="N17" s="2" t="b">
        <v>1</v>
      </c>
      <c r="O17" s="2" t="inlineStr"/>
      <c r="P17" s="3">
        <f>HYPERLINK("https://search.asu.edu/profile/rjmilcar", "https://search.asu.edu/profile/rjmilcar")</f>
        <v/>
      </c>
      <c r="Q17" s="3">
        <f>HYPERLINK("https://scholar.google.com/citations?view_op=search_authors&amp;mauthors=Ryan%20Milcarek%20Arizona%20State%20University", "Google Scholar Search")</f>
        <v/>
      </c>
      <c r="R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2" t="inlineStr">
        <is>
          <t>Aerospace &amp; Mechanical Engineering</t>
        </is>
      </c>
      <c r="D18" s="2" t="inlineStr">
        <is>
          <t>Arizona State University</t>
        </is>
      </c>
      <c r="E18" s="3">
        <f>HYPERLINK("mailto:ATTWL@asu.edu", "ATTWL@asu.edu")</f>
        <v/>
      </c>
      <c r="F18" s="2" t="n">
        <v>4</v>
      </c>
      <c r="G18" s="2" t="inlineStr">
        <is>
          <t>aerospace, energy systems, propulsion, thermal</t>
        </is>
      </c>
      <c r="H18" s="2" t="inlineStr"/>
      <c r="I18" s="2" t="inlineStr"/>
      <c r="J18" s="2" t="inlineStr">
        <is>
          <t>Lee's areas of expertise include energy system analysis, thermal and fluid process characterization, and fuel property measurements for energy systems.</t>
        </is>
      </c>
      <c r="K18" s="2" t="inlineStr">
        <is>
          <t>Ph.D. Aerospace Engineering, University of Michigan-Ann Arbor | M.S.E. Aerospace Engineering, University of Michigan-Ann Arbor | B.S. Aeronautical and Astronautical Engineering, The Ohio State University-Columbus</t>
        </is>
      </c>
      <c r="L18" s="2" t="inlineStr">
        <is>
          <t>ENGRC 377 (TEMPE, AZ 85287-6106)</t>
        </is>
      </c>
      <c r="M18" s="2" t="inlineStr"/>
      <c r="N18" s="2" t="b">
        <v>1</v>
      </c>
      <c r="O18" s="2" t="inlineStr"/>
      <c r="P18" s="3">
        <f>HYPERLINK("https://search.asu.edu/profile/attwl", "https://search.asu.edu/profile/attwl")</f>
        <v/>
      </c>
      <c r="Q18" s="3">
        <f>HYPERLINK("https://scholar.google.com/citations?view_op=search_authors&amp;mauthors=T.-W.%20Lee%20Arizona%20State%20University", "Google Scholar Search")</f>
        <v/>
      </c>
      <c r="R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2" t="inlineStr">
        <is>
          <t>Aerospace &amp; Mechanical Engineering</t>
        </is>
      </c>
      <c r="D19" s="2" t="inlineStr">
        <is>
          <t>Arizona State University</t>
        </is>
      </c>
      <c r="E19" s="3">
        <f>HYPERLINK("mailto:Tianyu.Yang@asu.edu", "Tianyu.Yang@asu.edu")</f>
        <v/>
      </c>
      <c r="F19" s="2" t="n">
        <v>4</v>
      </c>
      <c r="G19" s="2" t="inlineStr">
        <is>
          <t>autonomous, heat transfer, materials, thermal</t>
        </is>
      </c>
      <c r="H19" s="2" t="inlineStr"/>
      <c r="I19" s="2" t="inlineStr"/>
      <c r="J19" s="2" t="inlineStr">
        <is>
          <t>Yang studies heat transfer, thermal management of electronics, and biomedical devices. She has published multiple research papers in major scientific journals.</t>
        </is>
      </c>
      <c r="K19" s="2" t="inlineStr">
        <is>
          <t>PhD. University of Illinois at Urbana Champaign, 2016-2021 | BS. Tsinghua University, China 2012-2016</t>
        </is>
      </c>
      <c r="L19" s="2" t="inlineStr"/>
      <c r="M19" s="2" t="inlineStr"/>
      <c r="N19" s="2" t="b">
        <v>1</v>
      </c>
      <c r="O19" s="2" t="inlineStr"/>
      <c r="P19" s="3">
        <f>HYPERLINK("https://search.asu.edu/profile/tyang123", "https://search.asu.edu/profile/tyang123")</f>
        <v/>
      </c>
      <c r="Q19" s="3">
        <f>HYPERLINK("https://scholar.google.com/citations?view_op=search_authors&amp;mauthors=Tianyu%20Yang%20Arizona%20State%20University", "Google Scholar Search")</f>
        <v/>
      </c>
      <c r="R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2" t="inlineStr">
        <is>
          <t>Aerospace &amp; Mechanical Engineering</t>
        </is>
      </c>
      <c r="D20" s="2" t="inlineStr">
        <is>
          <t>Arizona State University</t>
        </is>
      </c>
      <c r="E20" s="3">
        <f>HYPERLINK("mailto:aditi@asu.edu", "aditi@asu.edu")</f>
        <v/>
      </c>
      <c r="F20" s="2" t="n">
        <v>3</v>
      </c>
      <c r="G20" s="2" t="inlineStr">
        <is>
          <t>aerospace, materials, structural health monitoring</t>
        </is>
      </c>
      <c r="H20" s="2" t="inlineStr"/>
      <c r="I20" s="2" t="inlineStr"/>
      <c r="J20" s="2" t="inlineStr">
        <is>
          <t>Chattopadhyay is the director of Adaptive Intelligent Materials and Systems (AIMS) Center at ASU. Her research focuses on structural health monitoring and damage prognosis, and multidisciplinary design optimization.</t>
        </is>
      </c>
      <c r="K20" s="2" t="inlineStr">
        <is>
          <t>Ph. D. Aerospace Engineering, Georgia Institute of Technology | M.S. Aerospace Engineering, Georgia Institute of Technology | B. Tech. Aeronautical Engineering (Honors), Indian Institute of Technology, Kharagpur, India 1980</t>
        </is>
      </c>
      <c r="L20" s="2" t="inlineStr">
        <is>
          <t>ENGRC 427 (TEMPE, AZ 85287-6106)</t>
        </is>
      </c>
      <c r="M20" s="2" t="inlineStr"/>
      <c r="N20" s="2" t="b">
        <v>1</v>
      </c>
      <c r="O20" s="2" t="inlineStr">
        <is>
          <t>w3fU9E0AAAAJ</t>
        </is>
      </c>
      <c r="P20" s="3">
        <f>HYPERLINK("https://search.asu.edu/profile/chattopa", "https://search.asu.edu/profile/chattopa")</f>
        <v/>
      </c>
      <c r="Q20" s="3">
        <f>HYPERLINK("https://scholar.google.com/citations?hl=en&amp;user=w3fU9E0AAAAJ", "Scholar (w3fU9E0AAAAJ)")</f>
        <v/>
      </c>
      <c r="R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2" t="inlineStr">
        <is>
          <t>Aerospace &amp; Mechanical Engineering</t>
        </is>
      </c>
      <c r="D21" s="2" t="inlineStr">
        <is>
          <t>Arizona State University</t>
        </is>
      </c>
      <c r="E21" s="3">
        <f>HYPERLINK("mailto:Alberto.Scotti@asu.edu", "Alberto.Scotti@asu.edu")</f>
        <v/>
      </c>
      <c r="F21" s="2" t="n">
        <v>3</v>
      </c>
      <c r="G21" s="2" t="inlineStr">
        <is>
          <t>fluid mechanics, fluids, turbulent</t>
        </is>
      </c>
      <c r="H21" s="2" t="inlineStr">
        <is>
          <t>Modeling and Simulation, Oceanography, Earth Systems and Climate Science, Modeling, Modeling, Simulation and Cyberinfrastructure, Applied Mathematics</t>
        </is>
      </c>
      <c r="I21" s="2" t="inlineStr">
        <is>
          <t>Modeling and Simulation, Oceanography, Earth Systems and Climate Science, Modeling, Modeling, Simulation and Cyberinfrastructure, Applied Mathematics</t>
        </is>
      </c>
      <c r="J21" s="2" t="inlineStr">
        <is>
          <t>Scotti's main focus is theoretical, experimental and computational aspects of environmental fluid mechanics.</t>
        </is>
      </c>
      <c r="K21" s="2" t="inlineStr">
        <is>
          <t>PhD Johns Hopkins University</t>
        </is>
      </c>
      <c r="L21" s="2" t="inlineStr">
        <is>
          <t>Campus: Tempe</t>
        </is>
      </c>
      <c r="M21" s="2" t="inlineStr"/>
      <c r="N21" s="2" t="b">
        <v>1</v>
      </c>
      <c r="O21" s="2" t="inlineStr">
        <is>
          <t>HRx2lJQAAAAJ</t>
        </is>
      </c>
      <c r="P21" s="3">
        <f>HYPERLINK("https://search.asu.edu/profile/adscotti", "https://search.asu.edu/profile/adscotti")</f>
        <v/>
      </c>
      <c r="Q21" s="3">
        <f>HYPERLINK("https://scholar.google.com/citations?hl=en&amp;user=HRx2lJQAAAAJ", "Scholar (HRx2lJQAAAAJ)")</f>
        <v/>
      </c>
      <c r="R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2" t="inlineStr">
        <is>
          <t>Aerospace &amp; Mechanical Engineering</t>
        </is>
      </c>
      <c r="D22" s="2" t="inlineStr">
        <is>
          <t>Arizona State University</t>
        </is>
      </c>
      <c r="E22" s="3">
        <f>HYPERLINK("mailto:kwon@asu.edu", "kwon@asu.edu")</f>
        <v/>
      </c>
      <c r="F22" s="2" t="n">
        <v>3</v>
      </c>
      <c r="G22" s="2" t="inlineStr">
        <is>
          <t>aerospace, energy systems, heat transfer</t>
        </is>
      </c>
      <c r="H22" s="2" t="inlineStr">
        <is>
          <t>Transport phenomena in heat transfer systems Additive manufacturing Data-driven modeling and design</t>
        </is>
      </c>
      <c r="I22" s="2" t="inlineStr"/>
      <c r="J22" s="2" t="inlineStr">
        <is>
          <t>Kwon aims to improve the energy conversion and transport systems through the fundamental insights into transport physics, and by exploiting additive manufacturing and data-driven approaches.</t>
        </is>
      </c>
      <c r="K22" s="2" t="inlineStr">
        <is>
          <t>Ph.D. Mechanical Engineering, University of Illinois at Urbana-Champaign 2013 | M.S. Mechanical Engineering, University of Illinois at Urbana-Champaign 2009 | B.S. Mechanical and Aerospace Engineering, Seoul National University 2008</t>
        </is>
      </c>
      <c r="L22" s="2" t="inlineStr">
        <is>
          <t>551 E Tyler Mall ERC 363 (Tempe, AZ 85281)</t>
        </is>
      </c>
      <c r="M22" s="3">
        <f>HYPERLINK("http://sites.google.com/view/3denergy", "http://sites.google.com/view/3denergy")</f>
        <v/>
      </c>
      <c r="N22" s="2" t="b">
        <v>1</v>
      </c>
      <c r="O22" s="2" t="inlineStr">
        <is>
          <t>fs2d97sAAAAJ</t>
        </is>
      </c>
      <c r="P22" s="3">
        <f>HYPERLINK("https://search.asu.edu/profile/bkwon2", "https://search.asu.edu/profile/bkwon2")</f>
        <v/>
      </c>
      <c r="Q22" s="3">
        <f>HYPERLINK("https://scholar.google.com/citations?hl=en&amp;user=fs2d97sAAAAJ", "Scholar (fs2d97sAAAAJ)")</f>
        <v/>
      </c>
      <c r="R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2" t="inlineStr">
        <is>
          <t>Aerospace &amp; Mechanical Engineering</t>
        </is>
      </c>
      <c r="D23" s="2" t="inlineStr">
        <is>
          <t>Arizona State University</t>
        </is>
      </c>
      <c r="E23" s="3">
        <f>HYPERLINK("mailto:hmarvi@asu.edu", "hmarvi@asu.edu")</f>
        <v/>
      </c>
      <c r="F23" s="2" t="n">
        <v>3</v>
      </c>
      <c r="G23" s="2" t="inlineStr">
        <is>
          <t>aerospace, robot, robotics</t>
        </is>
      </c>
      <c r="H23" s="2" t="inlineStr">
        <is>
          <t>Bio-inspired robotics Soft robotics Magnetic micro-robotics Mechanics of animal locomotion</t>
        </is>
      </c>
      <c r="I23" s="2" t="inlineStr"/>
      <c r="J23" s="2" t="inlineStr">
        <is>
          <t>Marvi would like to develop bio-inspired robotic systems and programmable interfacial structures for search and rescue, exploratory and medical applications.</t>
        </is>
      </c>
      <c r="K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L23" s="2" t="inlineStr"/>
      <c r="M23" s="3">
        <f>HYPERLINK("http://birth.asu.edu", "http://birth.asu.edu")</f>
        <v/>
      </c>
      <c r="N23" s="2" t="b">
        <v>1</v>
      </c>
      <c r="O23" s="2" t="inlineStr">
        <is>
          <t>00Fepb0AAAAJ</t>
        </is>
      </c>
      <c r="P23" s="3">
        <f>HYPERLINK("https://search.asu.edu/profile/hmarvi", "https://search.asu.edu/profile/hmarvi")</f>
        <v/>
      </c>
      <c r="Q23" s="3">
        <f>HYPERLINK("https://scholar.google.com/citations?hl=en&amp;user=00Fepb0AAAAJ", "Scholar (00Fepb0AAAAJ)")</f>
        <v/>
      </c>
      <c r="R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2" t="inlineStr">
        <is>
          <t>Aerospace &amp; Mechanical Engineering</t>
        </is>
      </c>
      <c r="D24" s="2" t="inlineStr">
        <is>
          <t>Arizona State University</t>
        </is>
      </c>
      <c r="E24" s="3">
        <f>HYPERLINK("mailto:Hyunglae.Lee@asu.edu", "Hyunglae.Lee@asu.edu")</f>
        <v/>
      </c>
      <c r="F24" s="2" t="n">
        <v>3</v>
      </c>
      <c r="G24" s="2" t="inlineStr">
        <is>
          <t>aerospace, robot, robotics</t>
        </is>
      </c>
      <c r="H24" s="2" t="inlineStr"/>
      <c r="I24" s="2" t="inlineStr"/>
      <c r="J24" s="2" t="inlineStr">
        <is>
          <t>Lee's research interests include physical human-robot interaction, neuromuscular control of human movement, robot-aided neurorehabilitation, bio-inspired robotics and system identification for physiological systems.</t>
        </is>
      </c>
      <c r="K24" s="2" t="inlineStr">
        <is>
          <t>B.S. Mechanical and Aerospace Engineering, Seoul National University (2002) M.S. Mechanical and Aerospace Engineering, Seoul National University (2004) Ph.D Mechanical Engineering, Massachusetts Institute of Technology (2013)</t>
        </is>
      </c>
      <c r="L24" s="2" t="inlineStr">
        <is>
          <t>Campus: Tempe</t>
        </is>
      </c>
      <c r="M24" s="3">
        <f>HYPERLINK("https://faculty.engineering.asu.edu/hlee", "https://faculty.engineering.asu.edu/hlee")</f>
        <v/>
      </c>
      <c r="N24" s="2" t="b">
        <v>1</v>
      </c>
      <c r="O24" s="2" t="inlineStr"/>
      <c r="P24" s="3">
        <f>HYPERLINK("https://search.asu.edu/profile/hlee234", "https://search.asu.edu/profile/hlee234")</f>
        <v/>
      </c>
      <c r="Q24" s="3">
        <f>HYPERLINK("https://scholar.google.com/citations?view_op=search_authors&amp;mauthors=Hyunglae%20Lee%20Arizona%20State%20University", "Google Scholar Search")</f>
        <v/>
      </c>
      <c r="R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2" t="inlineStr">
        <is>
          <t>Aerospace &amp; Mechanical Engineering</t>
        </is>
      </c>
      <c r="D25" s="2" t="inlineStr">
        <is>
          <t>Arizona State University</t>
        </is>
      </c>
      <c r="E25" s="3">
        <f>HYPERLINK("mailto:ladani@asu.edu", "ladani@asu.edu")</f>
        <v/>
      </c>
      <c r="F25" s="2" t="n">
        <v>3</v>
      </c>
      <c r="G25" s="2" t="inlineStr">
        <is>
          <t>aerospace, materials, solid mechanics</t>
        </is>
      </c>
      <c r="H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I25" s="2" t="inlineStr">
        <is>
          <t>Additive Manufacturing, Manufacturing Engineering</t>
        </is>
      </c>
      <c r="J25" s="2" t="inlineStr">
        <is>
          <t>Dr. Ladani is a Professor of Mechanical and Aerospace Engineering at Arizona State University.</t>
        </is>
      </c>
      <c r="K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L25" s="2" t="inlineStr"/>
      <c r="M25" s="3">
        <f>HYPERLINK("https://magic.asu.edu/", "https://magic.asu.edu/")</f>
        <v/>
      </c>
      <c r="N25" s="2" t="b">
        <v>1</v>
      </c>
      <c r="O25" s="2" t="inlineStr"/>
      <c r="P25" s="3">
        <f>HYPERLINK("https://search.asu.edu/profile/ljannesa", "https://search.asu.edu/profile/ljannesa")</f>
        <v/>
      </c>
      <c r="Q25" s="3">
        <f>HYPERLINK("https://scholar.google.com/citations?view_op=search_authors&amp;mauthors=Leila%20Ladani%20Arizona%20State%20University", "Google Scholar Search")</f>
        <v/>
      </c>
      <c r="R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2" t="inlineStr">
        <is>
          <t>Aerospace &amp; Mechanical Engineering</t>
        </is>
      </c>
      <c r="D26" s="2" t="inlineStr">
        <is>
          <t>Arizona State University</t>
        </is>
      </c>
      <c r="E26" s="3">
        <f>HYPERLINK("mailto:phelan@asu.edu", "phelan@asu.edu")</f>
        <v/>
      </c>
      <c r="F26" s="2" t="n">
        <v>3</v>
      </c>
      <c r="G26" s="2" t="inlineStr">
        <is>
          <t>aerospace, energy systems, thermal</t>
        </is>
      </c>
      <c r="H26" s="2" t="inlineStr">
        <is>
          <t>Thermal engineering, sustainable energy systems, energy management, sustainable cooling systems.</t>
        </is>
      </c>
      <c r="I26" s="2" t="inlineStr">
        <is>
          <t>Building Technology, Solar Energy Systems, Energy Efficiency Technologies, Mechanical Engineering</t>
        </is>
      </c>
      <c r="J26" s="2" t="inlineStr">
        <is>
          <t>Phelan researches and teaches in the area of sustainable energy, thermal transport and thermal management.</t>
        </is>
      </c>
      <c r="K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L26" s="2" t="inlineStr">
        <is>
          <t>ENGRC 463 (TEMPE, AZ 85287-6106)</t>
        </is>
      </c>
      <c r="M26" s="2" t="inlineStr"/>
      <c r="N26" s="2" t="b">
        <v>1</v>
      </c>
      <c r="O26" s="2" t="inlineStr"/>
      <c r="P26" s="3">
        <f>HYPERLINK("https://search.asu.edu/profile/pphelan", "https://search.asu.edu/profile/pphelan")</f>
        <v/>
      </c>
      <c r="Q26" s="3">
        <f>HYPERLINK("https://scholar.google.com/citations?view_op=search_authors&amp;mauthors=Patrick%20Phelan%20Arizona%20State%20University", "Google Scholar Search")</f>
        <v/>
      </c>
      <c r="R26" s="3">
        <f>HYPERLINK("https://faculty.engineering.asu.edu/directory/semte/aerospace-and-mechanical-engineering/", "https://faculty.engineering.asu.edu/directory/semte/aerospace-and-mechanical-engineering/")</f>
        <v/>
      </c>
    </row>
    <row r="27">
      <c r="A27" s="2" t="inlineStr">
        <is>
          <t>Yulia Peet</t>
        </is>
      </c>
      <c r="B27" s="2" t="inlineStr">
        <is>
          <t>Professor</t>
        </is>
      </c>
      <c r="C27" s="2" t="inlineStr">
        <is>
          <t>Aerospace &amp; Mechanical Engineering</t>
        </is>
      </c>
      <c r="D27" s="2" t="inlineStr">
        <is>
          <t>Arizona State University</t>
        </is>
      </c>
      <c r="E27" s="3">
        <f>HYPERLINK("mailto:ypeet@asu.edu", "ypeet@asu.edu")</f>
        <v/>
      </c>
      <c r="F27" s="2" t="n">
        <v>3</v>
      </c>
      <c r="G27" s="2" t="inlineStr">
        <is>
          <t>aerospace, fluid mechanics, turbulence</t>
        </is>
      </c>
      <c r="H27" s="2" t="inlineStr"/>
      <c r="I27" s="2" t="inlineStr"/>
      <c r="J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K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L27" s="2" t="inlineStr"/>
      <c r="M27" s="3">
        <f>HYPERLINK("https://isim.asu.edu", "https://isim.asu.edu")</f>
        <v/>
      </c>
      <c r="N27" s="2" t="b">
        <v>1</v>
      </c>
      <c r="O27" s="2" t="inlineStr">
        <is>
          <t>_6o8MrUAAAAJ</t>
        </is>
      </c>
      <c r="P27" s="3">
        <f>HYPERLINK("https://search.asu.edu/profile/ypeet", "https://search.asu.edu/profile/ypeet")</f>
        <v/>
      </c>
      <c r="Q27" s="3">
        <f>HYPERLINK("https://scholar.google.com/citations?hl=en&amp;user=_6o8MrUAAAAJ", "Scholar (_6o8MrUAAAAJ)")</f>
        <v/>
      </c>
      <c r="R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2" t="inlineStr">
        <is>
          <t>Aerospace &amp; Mechanical Engineering</t>
        </is>
      </c>
      <c r="D28" s="2" t="inlineStr">
        <is>
          <t>Arizona State University</t>
        </is>
      </c>
      <c r="E28" s="3">
        <f>HYPERLINK("mailto:zhuanghl@asu.edu", "zhuanghl@asu.edu")</f>
        <v/>
      </c>
      <c r="F28" s="2" t="n">
        <v>2</v>
      </c>
      <c r="G28" s="2" t="inlineStr">
        <is>
          <t>aerospace, materials</t>
        </is>
      </c>
      <c r="H28" s="2" t="inlineStr">
        <is>
          <t>Quantum simulations Machine learning Quantum computing</t>
        </is>
      </c>
      <c r="I28" s="2" t="inlineStr">
        <is>
          <t>Artificial Photosynthesis, Chemistry, Computational Physics, Machine Learning, Materials Science, Metals, Nanoscience, Semiconductors</t>
        </is>
      </c>
      <c r="J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K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L28" s="2" t="inlineStr"/>
      <c r="M28" s="2" t="inlineStr"/>
      <c r="N28" s="2" t="b">
        <v>1</v>
      </c>
      <c r="O28" s="2" t="inlineStr">
        <is>
          <t>4yYKCpUAAAAJ</t>
        </is>
      </c>
      <c r="P28" s="3">
        <f>HYPERLINK("https://search.asu.edu/profile/hzhuang7", "https://search.asu.edu/profile/hzhuang7")</f>
        <v/>
      </c>
      <c r="Q28" s="3">
        <f>HYPERLINK("https://scholar.google.com/citations?hl=en&amp;user=4yYKCpUAAAAJ", "Scholar (4yYKCpUAAAAJ)")</f>
        <v/>
      </c>
      <c r="R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2" t="inlineStr">
        <is>
          <t>Aerospace &amp; Mechanical Engineering</t>
        </is>
      </c>
      <c r="D29" s="2" t="inlineStr">
        <is>
          <t>Arizona State University</t>
        </is>
      </c>
      <c r="E29" s="3">
        <f>HYPERLINK("mailto:Huei-Ping.Huang@asu.edu", "Huei-Ping.Huang@asu.edu")</f>
        <v/>
      </c>
      <c r="F29" s="2" t="n">
        <v>2</v>
      </c>
      <c r="G29" s="2" t="inlineStr">
        <is>
          <t>aerospace, fluid dynamics</t>
        </is>
      </c>
      <c r="H29" s="2" t="inlineStr"/>
      <c r="I29" s="2" t="inlineStr"/>
      <c r="J29" s="2" t="inlineStr">
        <is>
          <t>Huang's research interests are geophysical and environmental fluid dynamics, numerical simulation of atmospheric and oceanic flows, Earth system remote sensing, and climate change.</t>
        </is>
      </c>
      <c r="K29" s="2" t="inlineStr">
        <is>
          <t>Ph.D. University of Illinois-Urbana-Champaign 1997 | M.S. National Taiwan University 1989 | B.S. National Central University,Taiwan 1987</t>
        </is>
      </c>
      <c r="L29" s="2" t="inlineStr">
        <is>
          <t>ENGRC 359 (Tempe, AZ 85287-6106)</t>
        </is>
      </c>
      <c r="M29" s="3">
        <f>HYPERLINK("http://www.public.asu.edu/~hhuang38", "http://www.public.asu.edu/~hhuang38")</f>
        <v/>
      </c>
      <c r="N29" s="2" t="b">
        <v>1</v>
      </c>
      <c r="O29" s="2" t="inlineStr"/>
      <c r="P29" s="3">
        <f>HYPERLINK("https://search.asu.edu/profile/hhuang38", "https://search.asu.edu/profile/hhuang38")</f>
        <v/>
      </c>
      <c r="Q29" s="3">
        <f>HYPERLINK("https://scholar.google.com/citations?view_op=search_authors&amp;mauthors=Huei-Ping%20Huang%20Arizona%20State%20University", "Google Scholar Search")</f>
        <v/>
      </c>
      <c r="R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2" t="inlineStr">
        <is>
          <t>Aerospace &amp; Mechanical Engineering</t>
        </is>
      </c>
      <c r="D30" s="2" t="inlineStr">
        <is>
          <t>Arizona State University</t>
        </is>
      </c>
      <c r="E30" s="3">
        <f>HYPERLINK("mailto:Jagannathan.Rajagopalan@asu.edu", "Jagannathan.Rajagopalan@asu.edu")</f>
        <v/>
      </c>
      <c r="F30" s="2" t="n">
        <v>2</v>
      </c>
      <c r="G30" s="2" t="inlineStr">
        <is>
          <t>aerospace, materials</t>
        </is>
      </c>
      <c r="H30" s="2" t="inlineStr">
        <is>
          <t>Synthesis of nanocrystalline materials with tailored microstructures, Mechanics of nanostructured metal and alloy films, MEMS for in situ materials testing, Polymer based micro devices for cell mechanics and biohybrid platforms</t>
        </is>
      </c>
      <c r="I30" s="2" t="inlineStr">
        <is>
          <t>Thin Film Materials, Materials Science, Mechanical Engineering</t>
        </is>
      </c>
      <c r="J30" s="2" t="inlineStr">
        <is>
          <t>Rajagopalan's research focuses on the mechanics of nanoscale materials, cells and biological systems.</t>
        </is>
      </c>
      <c r="K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L30" s="2" t="inlineStr">
        <is>
          <t>ENGRC 355 (Tempe, AZ 85287-6106)</t>
        </is>
      </c>
      <c r="M30" s="3">
        <f>HYPERLINK("http://faculty.engineering.asu.edu/jagan/", "http://faculty.engineering.asu.edu/jagan/")</f>
        <v/>
      </c>
      <c r="N30" s="2" t="b">
        <v>1</v>
      </c>
      <c r="O30" s="2" t="inlineStr">
        <is>
          <t>ClqRIhIAAAAJ</t>
        </is>
      </c>
      <c r="P30" s="3">
        <f>HYPERLINK("https://search.asu.edu/profile/jrajago1", "https://search.asu.edu/profile/jrajago1")</f>
        <v/>
      </c>
      <c r="Q30" s="3">
        <f>HYPERLINK("https://scholar.google.com/citations?hl=en&amp;user=ClqRIhIAAAAJ", "Scholar (ClqRIhIAAAAJ)")</f>
        <v/>
      </c>
      <c r="R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2" t="inlineStr">
        <is>
          <t>Aerospace &amp; Mechanical Engineering</t>
        </is>
      </c>
      <c r="D31" s="2" t="inlineStr">
        <is>
          <t>Arizona State University</t>
        </is>
      </c>
      <c r="E31" s="3">
        <f>HYPERLINK("mailto:konradr@asu.edu", "konradr@asu.edu")</f>
        <v/>
      </c>
      <c r="F31" s="2" t="n">
        <v>2</v>
      </c>
      <c r="G31" s="2" t="inlineStr">
        <is>
          <t>materials, thermal</t>
        </is>
      </c>
      <c r="H31" s="2" t="inlineStr"/>
      <c r="I31" s="2" t="inlineStr"/>
      <c r="J31" s="2" t="inlineStr">
        <is>
          <t>Rykaczewski's research focuses on development of soft thermal materials and system as well as studying human thermal exposure in extreme heat.</t>
        </is>
      </c>
      <c r="K31" s="2" t="inlineStr">
        <is>
          <t>Ph.D. Mechanical Engineering, Georgia Institute of Technology 2009 | M.S. Mechanical Engineering, Georgia Institute of Technology 2007 | B.S. Mechanical Engineering, Georgia Institute of Technology 2005</t>
        </is>
      </c>
      <c r="L31" s="2" t="inlineStr"/>
      <c r="M31" s="3">
        <f>HYPERLINK("http://faculty.engineering.asu.edu/konrad/", "http://faculty.engineering.asu.edu/konrad/")</f>
        <v/>
      </c>
      <c r="N31" s="2" t="b">
        <v>1</v>
      </c>
      <c r="O31" s="2" t="inlineStr">
        <is>
          <t>SWeAf4UAAAAJ</t>
        </is>
      </c>
      <c r="P31" s="3">
        <f>HYPERLINK("https://search.asu.edu/profile/krykacze", "https://search.asu.edu/profile/krykacze")</f>
        <v/>
      </c>
      <c r="Q31" s="3">
        <f>HYPERLINK("https://scholar.google.com/citations?hl=en&amp;user=SWeAf4UAAAAJ", "Scholar (SWeAf4UAAAAJ)")</f>
        <v/>
      </c>
      <c r="R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2" t="inlineStr">
        <is>
          <t>Aerospace &amp; Mechanical Engineering</t>
        </is>
      </c>
      <c r="D32" s="2" t="inlineStr">
        <is>
          <t>Arizona State University</t>
        </is>
      </c>
      <c r="E32" s="3">
        <f>HYPERLINK("mailto:minglei.qu@asu.edu", "minglei.qu@asu.edu")</f>
        <v/>
      </c>
      <c r="F32" s="2" t="n">
        <v>2</v>
      </c>
      <c r="G32" s="2" t="inlineStr">
        <is>
          <t>composites, materials</t>
        </is>
      </c>
      <c r="H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I32" s="2" t="inlineStr"/>
      <c r="J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K32" s="2" t="inlineStr">
        <is>
          <t>PhD. Mechanical Engineering, University of Wisconsin-Madison 2023</t>
        </is>
      </c>
      <c r="L32" s="2" t="inlineStr"/>
      <c r="M32" s="2" t="inlineStr"/>
      <c r="N32" s="2" t="b">
        <v>1</v>
      </c>
      <c r="O32" s="2" t="inlineStr">
        <is>
          <t>9LWNC50AAAAJ</t>
        </is>
      </c>
      <c r="P32" s="3">
        <f>HYPERLINK("https://search.asu.edu/profile/mingleiq", "https://search.asu.edu/profile/mingleiq")</f>
        <v/>
      </c>
      <c r="Q32" s="3">
        <f>HYPERLINK("https://scholar.google.com/citations?hl=en&amp;user=9LWNC50AAAAJ", "Scholar (9LWNC50AAAAJ)")</f>
        <v/>
      </c>
      <c r="R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2" t="inlineStr">
        <is>
          <t>Aerospace &amp; Mechanical Engineering</t>
        </is>
      </c>
      <c r="D33" s="2" t="inlineStr">
        <is>
          <t>Arizona State University</t>
        </is>
      </c>
      <c r="E33" s="3">
        <f>HYPERLINK("mailto:Qiong.Nian@asu.edu", "Qiong.Nian@asu.edu")</f>
        <v/>
      </c>
      <c r="F33" s="2" t="n">
        <v>2</v>
      </c>
      <c r="G33" s="2" t="inlineStr">
        <is>
          <t>aerospace, materials</t>
        </is>
      </c>
      <c r="H33" s="2" t="inlineStr">
        <is>
          <t>Nanomanufacturing, additive manufacturing, laser-based material processing, laser matter interaction and physics simulation; inkjet printing of functional materials; and 2D materials fabrication for energy storage and bio-sensors.</t>
        </is>
      </c>
      <c r="I33" s="2" t="inlineStr">
        <is>
          <t>Additive Manufacturing, Manufacturing Engineering, Mechanical Engineering</t>
        </is>
      </c>
      <c r="J33" s="2" t="inlineStr">
        <is>
          <t>Nian's research interests include additive manufacturing, laser-based manufacturing and material processing, laser matter interaction and physics simulation, and functional materials for energy storage and bio-sensors.</t>
        </is>
      </c>
      <c r="K33" s="2" t="inlineStr">
        <is>
          <t>Ph.D. Manufacturing, Industrial Engineering, Purdue University 2015 | B.Sc. Materials Science and Engineering, University of Science and Technology of China 2009</t>
        </is>
      </c>
      <c r="L33" s="2" t="inlineStr">
        <is>
          <t>Campus: Tempe</t>
        </is>
      </c>
      <c r="M33" s="3">
        <f>HYPERLINK("https://mmmplab.engineering.asu.edu/", "https://mmmplab.engineering.asu.edu/")</f>
        <v/>
      </c>
      <c r="N33" s="2" t="b">
        <v>1</v>
      </c>
      <c r="O33" s="2" t="inlineStr"/>
      <c r="P33" s="3">
        <f>HYPERLINK("https://search.asu.edu/profile/qnian", "https://search.asu.edu/profile/qnian")</f>
        <v/>
      </c>
      <c r="Q33" s="3">
        <f>HYPERLINK("https://scholar.google.com/citations?view_op=search_authors&amp;mauthors=Qiong%20Nian%20Arizona%20State%20University", "Google Scholar Search")</f>
        <v/>
      </c>
      <c r="R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2" t="inlineStr">
        <is>
          <t>Aerospace &amp; Mechanical Engineering</t>
        </is>
      </c>
      <c r="D34" s="2" t="inlineStr">
        <is>
          <t>Arizona State University</t>
        </is>
      </c>
      <c r="E34" s="3">
        <f>HYPERLINK("mailto:Ronald.Calhoun@asu.edu", "Ronald.Calhoun@asu.edu")</f>
        <v/>
      </c>
      <c r="F34" s="2" t="n">
        <v>2</v>
      </c>
      <c r="G34" s="2" t="inlineStr">
        <is>
          <t>boundary layer, fluid dynamics</t>
        </is>
      </c>
      <c r="H34" s="2" t="inlineStr"/>
      <c r="I34" s="2" t="inlineStr"/>
      <c r="J34" s="2" t="inlineStr">
        <is>
          <t>Calhoun’s research interests are in fluid dynamics; atmospheric sciences; boundary layer; wind energy and remote sensing.</t>
        </is>
      </c>
      <c r="K34" s="2" t="inlineStr">
        <is>
          <t>Ph.D. Civil and Environmental Engineering, Stanford University 1998 | Engineer. Civil and Environmental Engineering, Stanford University 1993 | M.S. Civil and Environmental Engineering, Stanford University 1992 | B.S. Symbolic Systems, Stanford University 1989</t>
        </is>
      </c>
      <c r="L34" s="2" t="inlineStr">
        <is>
          <t>Goldwater 466 (TEMPE, AZ 85287-6106)</t>
        </is>
      </c>
      <c r="M34" s="3">
        <f>HYPERLINK("https://windlab.engineering.asu.edu/ronald-calhoun/", "https://windlab.engineering.asu.edu/ronald-calhoun/")</f>
        <v/>
      </c>
      <c r="N34" s="2" t="b">
        <v>1</v>
      </c>
      <c r="O34" s="2" t="inlineStr"/>
      <c r="P34" s="3">
        <f>HYPERLINK("https://search.asu.edu/profile/rcalhou", "https://search.asu.edu/profile/rcalhou")</f>
        <v/>
      </c>
      <c r="Q34" s="3">
        <f>HYPERLINK("https://scholar.google.com/citations?view_op=search_authors&amp;mauthors=Ronald%20Calhoun%20Arizona%20State%20University", "Google Scholar Search")</f>
        <v/>
      </c>
      <c r="R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2" t="inlineStr">
        <is>
          <t>Aerospace &amp; Mechanical Engineering</t>
        </is>
      </c>
      <c r="D35" s="2" t="inlineStr">
        <is>
          <t>Arizona State University</t>
        </is>
      </c>
      <c r="E35" s="3">
        <f>HYPERLINK("mailto:wjin@asu.edu", "wjin@asu.edu")</f>
        <v/>
      </c>
      <c r="F35" s="2" t="n">
        <v>2</v>
      </c>
      <c r="G35" s="2" t="inlineStr">
        <is>
          <t>robot, robotics</t>
        </is>
      </c>
      <c r="H35" s="2" t="inlineStr">
        <is>
          <t>https://irislab.tech/</t>
        </is>
      </c>
      <c r="I35" s="2" t="inlineStr"/>
      <c r="J35" s="2" t="inlineStr">
        <is>
          <t>Jin's research includes robotics, control and machine learning, with a focus on the autonomy of robots interacting with humans and objects.</t>
        </is>
      </c>
      <c r="K35" s="2" t="inlineStr">
        <is>
          <t>Ph.D., Purdue University 2021 | Master of Science, Harbin Institute of Technology, 2016 | Bachelor of Engineering, Harbin Institute of Technology, 2014</t>
        </is>
      </c>
      <c r="L35" s="2" t="inlineStr"/>
      <c r="M35" s="3">
        <f>HYPERLINK("https://irislab.tech/", "https://irislab.tech/")</f>
        <v/>
      </c>
      <c r="N35" s="2" t="b">
        <v>1</v>
      </c>
      <c r="O35" s="2" t="inlineStr">
        <is>
          <t>SoEC4h4AAAAJ</t>
        </is>
      </c>
      <c r="P35" s="3">
        <f>HYPERLINK("https://search.asu.edu/profile/wjin34", "https://search.asu.edu/profile/wjin34")</f>
        <v/>
      </c>
      <c r="Q35" s="3">
        <f>HYPERLINK("https://scholar.google.com/citations?hl=en&amp;user=SoEC4h4AAAAJ", "Scholar (SoEC4h4AAAAJ)")</f>
        <v/>
      </c>
      <c r="R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2" t="inlineStr">
        <is>
          <t>Aerospace &amp; Mechanical Engineering</t>
        </is>
      </c>
      <c r="D36" s="2" t="inlineStr">
        <is>
          <t>Arizona State University</t>
        </is>
      </c>
      <c r="E36" s="3">
        <f>HYPERLINK("mailto:Yongming.Liu@asu.edu", "Yongming.Liu@asu.edu")</f>
        <v/>
      </c>
      <c r="F36" s="2" t="n">
        <v>2</v>
      </c>
      <c r="G36" s="2" t="inlineStr">
        <is>
          <t>aerospace, materials</t>
        </is>
      </c>
      <c r="H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I36" s="2" t="inlineStr"/>
      <c r="J36" s="2" t="inlineStr">
        <is>
          <t>Liu heads the Prognostic Analysis and Reliability Assessment Laboratory (PARA). He joined ASU in 2012.</t>
        </is>
      </c>
      <c r="K36" s="2" t="inlineStr">
        <is>
          <t>Ph.D. Civil Engineering, Vanderbilt University 2006 | M.S. Structural Engineering, Tongji University, Shanghai, China 2002 | B.S. Structural Engineering, Tongji University, Shanghai, China 1999</t>
        </is>
      </c>
      <c r="L36" s="2" t="inlineStr">
        <is>
          <t>ENGRC 409 (Tempe, AZ 85287-6106)</t>
        </is>
      </c>
      <c r="M36" s="2" t="inlineStr"/>
      <c r="N36" s="2" t="b">
        <v>1</v>
      </c>
      <c r="O36" s="2" t="inlineStr"/>
      <c r="P36" s="3">
        <f>HYPERLINK("https://search.asu.edu/profile/yliu35", "https://search.asu.edu/profile/yliu35")</f>
        <v/>
      </c>
      <c r="Q36" s="3">
        <f>HYPERLINK("https://scholar.google.com/citations?view_op=search_authors&amp;mauthors=Yongming%20Liu%20Arizona%20State%20University", "Google Scholar Search")</f>
        <v/>
      </c>
      <c r="R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2" t="inlineStr">
        <is>
          <t>Aerospace &amp; Mechanical Engineering</t>
        </is>
      </c>
      <c r="D37" s="2" t="inlineStr">
        <is>
          <t>Arizona State University</t>
        </is>
      </c>
      <c r="E37" s="3">
        <f>HYPERLINK("mailto:xiangjia.li@asu.edu", "xiangjia.li@asu.edu")</f>
        <v/>
      </c>
      <c r="F37" s="2" t="n">
        <v>1</v>
      </c>
      <c r="G37" s="2" t="inlineStr">
        <is>
          <t>materials</t>
        </is>
      </c>
      <c r="H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I37" s="2" t="inlineStr">
        <is>
          <t>Ceramic Technology, Mechanics of Composite Materials, Mechanical Engineering, Biomimicry, 3D Printing, Additive Manufacturing, Manufacturing Engineering</t>
        </is>
      </c>
      <c r="J37" s="2" t="inlineStr">
        <is>
          <t>Xiangjia (Cindy) Li is an Associate Professor at Arizona State University. Her research focuses on multiscale, multimaterial additive manufacturing and bioinspired design for functional materials and devices.</t>
        </is>
      </c>
      <c r="K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L37" s="2" t="inlineStr"/>
      <c r="M37" s="3">
        <f>HYPERLINK("https://www.cindyxjli.com/", "https://www.cindyxjli.com/")</f>
        <v/>
      </c>
      <c r="N37" s="2" t="b">
        <v>1</v>
      </c>
      <c r="O37" s="2" t="inlineStr">
        <is>
          <t>tGQzHJIAAAAJ</t>
        </is>
      </c>
      <c r="P37" s="3">
        <f>HYPERLINK("https://search.asu.edu/profile/xiangji5", "https://search.asu.edu/profile/xiangji5")</f>
        <v/>
      </c>
      <c r="Q37" s="3">
        <f>HYPERLINK("https://scholar.google.com/citations?hl=en&amp;user=tGQzHJIAAAAJ", "Scholar (tGQzHJIAAAAJ)")</f>
        <v/>
      </c>
      <c r="R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2" t="inlineStr">
        <is>
          <t>Aerospace &amp; Mechanical Engineering</t>
        </is>
      </c>
      <c r="D38" s="2" t="inlineStr">
        <is>
          <t>Arizona State University</t>
        </is>
      </c>
      <c r="E38" s="3">
        <f>HYPERLINK("mailto:jimbo@asu.edu", "jimbo@asu.edu")</f>
        <v/>
      </c>
      <c r="F38" s="2" t="n">
        <v>1</v>
      </c>
      <c r="G38" s="2" t="inlineStr">
        <is>
          <t>aerospace</t>
        </is>
      </c>
      <c r="H38" s="2" t="inlineStr">
        <is>
          <t>Student learning of mathematical concepts. Motivation and mathematics learning. Teacher change. Applications of technology to mathematics teaching and learning.</t>
        </is>
      </c>
      <c r="I38" s="2" t="inlineStr"/>
      <c r="J38" s="2" t="inlineStr">
        <is>
          <t>Middleton’s research interests focus in the following areas where he has published extensively: children’s mathematical thinking; teacher and student motivation in mathematics; and teacher change in mathematics.</t>
        </is>
      </c>
      <c r="K38" s="2" t="inlineStr">
        <is>
          <t>Ph.D. Educational Psychology, University of Wisconsin-Madison 1992</t>
        </is>
      </c>
      <c r="L38" s="2" t="inlineStr"/>
      <c r="M38" s="2" t="inlineStr"/>
      <c r="N38" s="2" t="b">
        <v>1</v>
      </c>
      <c r="O38" s="2" t="inlineStr"/>
      <c r="P38" s="3">
        <f>HYPERLINK("https://search.asu.edu/profile/jimbo", "https://search.asu.edu/profile/jimbo")</f>
        <v/>
      </c>
      <c r="Q38" s="3">
        <f>HYPERLINK("https://scholar.google.com/citations?view_op=search_authors&amp;mauthors=James%20Middleton%20Arizona%20State%20University", "Google Scholar Search")</f>
        <v/>
      </c>
      <c r="R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2" t="inlineStr">
        <is>
          <t>Aerospace &amp; Mechanical Engineering</t>
        </is>
      </c>
      <c r="D39" s="2" t="inlineStr">
        <is>
          <t>Arizona State University</t>
        </is>
      </c>
      <c r="E39" s="3">
        <f>HYPERLINK("mailto:Lin.Li.10@asu.edu", "Lin.Li.10@asu.edu")</f>
        <v/>
      </c>
      <c r="F39" s="2" t="n">
        <v>1</v>
      </c>
      <c r="G39" s="2" t="inlineStr">
        <is>
          <t>materials</t>
        </is>
      </c>
      <c r="H39" s="2" t="inlineStr"/>
      <c r="I39" s="2" t="inlineStr"/>
      <c r="J39" s="2" t="inlineStr">
        <is>
          <t>Li uses multiscale material mechanics models, computational and data tools to explore advanced materials for extreme environments.</t>
        </is>
      </c>
      <c r="K39" s="2" t="inlineStr">
        <is>
          <t>PhD The Ohio State University</t>
        </is>
      </c>
      <c r="L39" s="2" t="inlineStr">
        <is>
          <t>Campus: Tempe</t>
        </is>
      </c>
      <c r="M39" s="2" t="inlineStr"/>
      <c r="N39" s="2" t="b">
        <v>1</v>
      </c>
      <c r="O39" s="2" t="inlineStr"/>
      <c r="P39" s="3">
        <f>HYPERLINK("https://search.asu.edu/profile/linli25", "https://search.asu.edu/profile/linli25")</f>
        <v/>
      </c>
      <c r="Q39" s="3">
        <f>HYPERLINK("https://scholar.google.com/citations?view_op=search_authors&amp;mauthors=Lin%20Li%20Arizona%20State%20University", "Google Scholar Search")</f>
        <v/>
      </c>
      <c r="R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2" t="inlineStr">
        <is>
          <t>Aerospace &amp; Mechanical Engineering</t>
        </is>
      </c>
      <c r="D40" s="2" t="inlineStr">
        <is>
          <t>Arizona State University</t>
        </is>
      </c>
      <c r="E40" s="3">
        <f>HYPERLINK("mailto:marc.mignolet@asu.edu", "marc.mignolet@asu.edu")</f>
        <v/>
      </c>
      <c r="F40" s="2" t="n">
        <v>1</v>
      </c>
      <c r="G40" s="2" t="inlineStr">
        <is>
          <t>aerospace</t>
        </is>
      </c>
      <c r="H40" s="2" t="inlineStr"/>
      <c r="I40" s="2" t="inlineStr"/>
      <c r="J40" s="2" t="inlineStr">
        <is>
          <t>Mignolet's research interests include structural dynamics, vibrations, modeling of uncertainty in structures and stochastic multiscale analyses.</t>
        </is>
      </c>
      <c r="K40" s="2" t="inlineStr">
        <is>
          <t>Ph.D. Rice University 1987</t>
        </is>
      </c>
      <c r="L40" s="2" t="inlineStr"/>
      <c r="M40" s="2" t="inlineStr"/>
      <c r="N40" s="2" t="b">
        <v>1</v>
      </c>
      <c r="O40" s="2" t="inlineStr"/>
      <c r="P40" s="3">
        <f>HYPERLINK("https://search.asu.edu/profile/marc03", "https://search.asu.edu/profile/marc03")</f>
        <v/>
      </c>
      <c r="Q40" s="3">
        <f>HYPERLINK("https://scholar.google.com/citations?view_op=search_authors&amp;mauthors=Marc%20Mignolet%20Arizona%20State%20University", "Google Scholar Search")</f>
        <v/>
      </c>
      <c r="R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2" t="inlineStr">
        <is>
          <t>Aerospace &amp; Mechanical Engineering</t>
        </is>
      </c>
      <c r="D41" s="2" t="inlineStr">
        <is>
          <t>Arizona State University</t>
        </is>
      </c>
      <c r="E41" s="3">
        <f>HYPERLINK("mailto:pperalta@asu.edu", "pperalta@asu.edu")</f>
        <v/>
      </c>
      <c r="F41" s="2" t="n">
        <v>1</v>
      </c>
      <c r="G41" s="2" t="inlineStr">
        <is>
          <t>materials</t>
        </is>
      </c>
      <c r="H41" s="2" t="inlineStr"/>
      <c r="I41" s="2" t="inlineStr"/>
      <c r="J41" s="2" t="inlineStr">
        <is>
          <t>Peralta's research focuses on mechanics of materials, fatigue and fracture of metallic alloys, dynamic and shock loading of metallic and intermetallic materials.</t>
        </is>
      </c>
      <c r="K41" s="2" t="inlineStr">
        <is>
          <t>Ph.D. Materials Science and Engineering, University of Pennsylvania | M.S. Mechanical Engineering and Applied Mechanics, University of Pennsylvania | Bachelor’s degree. Mechanical Engineering, Universidad Simón Bolívar, Caracas, Venezuela</t>
        </is>
      </c>
      <c r="L41" s="2" t="inlineStr"/>
      <c r="M41" s="3">
        <f>HYPERLINK("https://faculty.engineering.asu.edu/pperalta/", "https://faculty.engineering.asu.edu/pperalta/")</f>
        <v/>
      </c>
      <c r="N41" s="2" t="b">
        <v>1</v>
      </c>
      <c r="O41" s="2" t="inlineStr"/>
      <c r="P41" s="3">
        <f>HYPERLINK("https://search.asu.edu/profile/pperalta", "https://search.asu.edu/profile/pperalta")</f>
        <v/>
      </c>
      <c r="Q41" s="3">
        <f>HYPERLINK("https://scholar.google.com/citations?view_op=search_authors&amp;mauthors=Pedro%20Peralta%20Arizona%20State%20University", "Google Scholar Search")</f>
        <v/>
      </c>
      <c r="R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2" t="inlineStr">
        <is>
          <t>Aerospace &amp; Mechanical Engineering</t>
        </is>
      </c>
      <c r="D42" s="2" t="inlineStr">
        <is>
          <t>Arizona State University</t>
        </is>
      </c>
      <c r="E42" s="3">
        <f>HYPERLINK("mailto:Wonmo.Kang@asu.edu", "Wonmo.Kang@asu.edu")</f>
        <v/>
      </c>
      <c r="F42" s="2" t="n">
        <v>1</v>
      </c>
      <c r="G42" s="2" t="inlineStr">
        <is>
          <t>materials</t>
        </is>
      </c>
      <c r="H42" s="2" t="inlineStr">
        <is>
          <t>Mechanics of Composite Materials, Micro and Nanoscale Bioengineering, Nanotechnology, Thin Film Materials</t>
        </is>
      </c>
      <c r="I42" s="2" t="inlineStr">
        <is>
          <t>Mechanics of Composite Materials, Micro and Nanoscale Bioengineering, Nanotechnology, Thin Film Materials</t>
        </is>
      </c>
      <c r="J42" s="2" t="inlineStr">
        <is>
          <t>Kang's current research interests include functional materials for energy/manufacturing applications and biomaterials/biomechanics for injury and wound healing mechanisms.</t>
        </is>
      </c>
      <c r="K42" s="2" t="inlineStr">
        <is>
          <t>Ph.D. Mechanical Science and Engineering, University of Illinois at Urbana-Champaign 2012</t>
        </is>
      </c>
      <c r="L42" s="2" t="inlineStr">
        <is>
          <t>Campus: Tempe</t>
        </is>
      </c>
      <c r="M42" s="3">
        <f>HYPERLINK("https://wonmokang3.wixsite.com/website", "https://wonmokang3.wixsite.com/website")</f>
        <v/>
      </c>
      <c r="N42" s="2" t="b">
        <v>1</v>
      </c>
      <c r="O42" s="2" t="inlineStr">
        <is>
          <t>bHyyOTAAAAAJ</t>
        </is>
      </c>
      <c r="P42" s="3">
        <f>HYPERLINK("https://search.asu.edu/profile/wkang16", "https://search.asu.edu/profile/wkang16")</f>
        <v/>
      </c>
      <c r="Q42" s="3">
        <f>HYPERLINK("https://scholar.google.com/citations?hl=en&amp;user=bHyyOTAAAAAJ", "Scholar (bHyyOTAAAAAJ)")</f>
        <v/>
      </c>
      <c r="R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2" t="inlineStr">
        <is>
          <t>Aerospace &amp; Mechanical Engineering</t>
        </is>
      </c>
      <c r="D43" s="2" t="inlineStr">
        <is>
          <t>Arizona State University</t>
        </is>
      </c>
      <c r="E43" s="3">
        <f>HYPERLINK("mailto:yiren@asu.edu", "yiren@asu.edu")</f>
        <v/>
      </c>
      <c r="F43" s="2" t="n">
        <v>1</v>
      </c>
      <c r="G43" s="2" t="inlineStr">
        <is>
          <t>aerospace</t>
        </is>
      </c>
      <c r="H43" s="2" t="inlineStr"/>
      <c r="I43" s="2" t="inlineStr"/>
      <c r="J43" s="2" t="inlineStr">
        <is>
          <t>Ren’s current research interests include optimization, product/configuration design, human-computer interaction and machine learning.</t>
        </is>
      </c>
      <c r="K43" s="2" t="inlineStr">
        <is>
          <t>Ph.D. Mechanical Engineering, University of Michigan 2011 | M.S. Mechanical Engineering, University of Michigan 2009 | B.S. Automative Engineering, Tsinghua University, China 2007</t>
        </is>
      </c>
      <c r="L43" s="2" t="inlineStr">
        <is>
          <t>GWC 464 (Tempe, AZ 85287-6106)</t>
        </is>
      </c>
      <c r="M43" s="2" t="inlineStr"/>
      <c r="N43" s="2" t="b">
        <v>1</v>
      </c>
      <c r="O43" s="2" t="inlineStr"/>
      <c r="P43" s="3">
        <f>HYPERLINK("https://search.asu.edu/profile/yren32", "https://search.asu.edu/profile/yren32")</f>
        <v/>
      </c>
      <c r="Q43" s="3">
        <f>HYPERLINK("https://scholar.google.com/citations?view_op=search_authors&amp;mauthors=Yi%20Ren%20Arizona%20State%20University", "Google Scholar Search")</f>
        <v/>
      </c>
      <c r="R43" s="3">
        <f>HYPERLINK("https://faculty.engineering.asu.edu/directory/semte/aerospace-and-mechanical-engineering/", "https://faculty.engineering.asu.edu/directory/semte/aerospace-and-mechanical-engineering/")</f>
        <v/>
      </c>
    </row>
    <row r="44">
      <c r="A44" s="2" t="inlineStr">
        <is>
          <t>Derrick Speaks</t>
        </is>
      </c>
      <c r="B44" s="2" t="inlineStr">
        <is>
          <t>Assistant Teaching Professor</t>
        </is>
      </c>
      <c r="C44" s="2" t="inlineStr">
        <is>
          <t>Aerospace &amp; Mechanical Engineering</t>
        </is>
      </c>
      <c r="D44" s="2" t="inlineStr">
        <is>
          <t>Arizona State University</t>
        </is>
      </c>
      <c r="E44" s="3">
        <f>HYPERLINK("mailto:Derrick.Speaks@asu.edu", "Derrick.Speaks@asu.edu")</f>
        <v/>
      </c>
      <c r="F44" s="2" t="n">
        <v>0</v>
      </c>
      <c r="G44" s="2" t="inlineStr"/>
      <c r="H44" s="2" t="inlineStr"/>
      <c r="I44" s="2" t="inlineStr"/>
      <c r="J44" s="2" t="inlineStr"/>
      <c r="K44" s="2" t="inlineStr"/>
      <c r="L44" s="2" t="inlineStr"/>
      <c r="M44" s="2" t="inlineStr"/>
      <c r="N44" s="2" t="b">
        <v>0</v>
      </c>
      <c r="O44" s="2" t="inlineStr"/>
      <c r="P44" s="3">
        <f>HYPERLINK("https://search.asu.edu/profile/dspeaks2", "https://search.asu.edu/profile/dspeaks2")</f>
        <v/>
      </c>
      <c r="Q44" s="3">
        <f>HYPERLINK("https://scholar.google.com/citations?view_op=search_authors&amp;mauthors=Derrick%20Speaks%20Arizona%20State%20University", "Google Scholar Search")</f>
        <v/>
      </c>
      <c r="R44" s="3">
        <f>HYPERLINK("https://faculty.engineering.asu.edu/directory/semte/aerospace-and-mechanical-engineering/", "https://faculty.engineering.asu.edu/directory/semte/aerospace-and-mechanical-engineering/")</f>
        <v/>
      </c>
    </row>
    <row r="45">
      <c r="A45" s="2" t="inlineStr">
        <is>
          <t>Erik Andersen</t>
        </is>
      </c>
      <c r="B45" s="2" t="inlineStr">
        <is>
          <t>Professor</t>
        </is>
      </c>
      <c r="C45" s="2" t="inlineStr">
        <is>
          <t>Aerospace &amp; Mechanical Engineering</t>
        </is>
      </c>
      <c r="D45" s="2" t="inlineStr">
        <is>
          <t>Arizona State University</t>
        </is>
      </c>
      <c r="E45" s="3">
        <f>HYPERLINK("mailto:Erik.J.Andersen@asu.edu", "Erik.J.Andersen@asu.edu")</f>
        <v/>
      </c>
      <c r="F45" s="2" t="n">
        <v>0</v>
      </c>
      <c r="G45" s="2" t="inlineStr"/>
      <c r="H45" s="2" t="inlineStr"/>
      <c r="I45" s="2" t="inlineStr"/>
      <c r="J45" s="2" t="inlineStr"/>
      <c r="K45" s="2" t="inlineStr">
        <is>
          <t>Ph.D. in Mechanical Engineering 2022 - University of Utah B.S./M.S.in Mechanical Engineering 2018 - University of Utah</t>
        </is>
      </c>
      <c r="L45" s="2" t="inlineStr">
        <is>
          <t>Campus: Otherus</t>
        </is>
      </c>
      <c r="M45" s="2" t="inlineStr"/>
      <c r="N45" s="2" t="b">
        <v>0</v>
      </c>
      <c r="O45" s="2" t="inlineStr"/>
      <c r="P45" s="3">
        <f>HYPERLINK("https://search.asu.edu/profile/ejande22", "https://search.asu.edu/profile/ejande22")</f>
        <v/>
      </c>
      <c r="Q45" s="3">
        <f>HYPERLINK("https://scholar.google.com/citations?view_op=search_authors&amp;mauthors=Erik%20Andersen%20Arizona%20State%20University", "Google Scholar Search")</f>
        <v/>
      </c>
      <c r="R45" s="3">
        <f>HYPERLINK("https://faculty.engineering.asu.edu/directory/semte/aerospace-and-mechanical-engineering/", "https://faculty.engineering.asu.edu/directory/semte/aerospace-and-mechanical-engineering/")</f>
        <v/>
      </c>
    </row>
    <row r="46">
      <c r="A46" s="2" t="inlineStr">
        <is>
          <t>Ivy Chang</t>
        </is>
      </c>
      <c r="B46" s="2" t="inlineStr">
        <is>
          <t>Assistant Teaching Professor</t>
        </is>
      </c>
      <c r="C46" s="2" t="inlineStr">
        <is>
          <t>Aerospace &amp; Mechanical Engineering</t>
        </is>
      </c>
      <c r="D46" s="2" t="inlineStr">
        <is>
          <t>Arizona State University</t>
        </is>
      </c>
      <c r="E46" s="3">
        <f>HYPERLINK("mailto:Ivy.Chang@asu.edu", "Ivy.Chang@asu.edu")</f>
        <v/>
      </c>
      <c r="F46" s="2" t="n">
        <v>0</v>
      </c>
      <c r="G46" s="2" t="inlineStr"/>
      <c r="H46" s="2" t="inlineStr"/>
      <c r="I46" s="2" t="inlineStr"/>
      <c r="J46" s="2" t="inlineStr"/>
      <c r="K46" s="2" t="inlineStr"/>
      <c r="L46" s="2" t="inlineStr"/>
      <c r="M46" s="2" t="inlineStr"/>
      <c r="N46" s="2" t="b">
        <v>0</v>
      </c>
      <c r="O46" s="2" t="inlineStr"/>
      <c r="P46" s="3">
        <f>HYPERLINK("https://search.asu.edu/profile/iychang", "https://search.asu.edu/profile/iychang")</f>
        <v/>
      </c>
      <c r="Q46" s="3">
        <f>HYPERLINK("https://scholar.google.com/citations?view_op=search_authors&amp;mauthors=Ivy%20Chang%20Arizona%20State%20University", "Google Scholar Search")</f>
        <v/>
      </c>
      <c r="R46" s="3">
        <f>HYPERLINK("https://faculty.engineering.asu.edu/directory/semte/aerospace-and-mechanical-engineering/", "https://faculty.engineering.asu.edu/directory/semte/aerospace-and-mechanical-engineering/")</f>
        <v/>
      </c>
    </row>
    <row r="47">
      <c r="A47" s="2" t="inlineStr">
        <is>
          <t>Joshua Wilbur</t>
        </is>
      </c>
      <c r="B47" s="2" t="inlineStr">
        <is>
          <t>Associate Teaching Professor</t>
        </is>
      </c>
      <c r="C47" s="2" t="inlineStr">
        <is>
          <t>Aerospace &amp; Mechanical Engineering</t>
        </is>
      </c>
      <c r="D47" s="2" t="inlineStr">
        <is>
          <t>Arizona State University</t>
        </is>
      </c>
      <c r="E47" s="3">
        <f>HYPERLINK("mailto:Joshua.Wilbur@asu.edu", "Joshua.Wilbur@asu.edu")</f>
        <v/>
      </c>
      <c r="F47" s="2" t="n">
        <v>0</v>
      </c>
      <c r="G47" s="2" t="inlineStr"/>
      <c r="H47" s="2" t="inlineStr"/>
      <c r="I47" s="2" t="inlineStr"/>
      <c r="J47" s="2" t="inlineStr"/>
      <c r="K47" s="2" t="inlineStr"/>
      <c r="L47" s="2" t="inlineStr"/>
      <c r="M47" s="2" t="inlineStr"/>
      <c r="N47" s="2" t="b">
        <v>0</v>
      </c>
      <c r="O47" s="2" t="inlineStr"/>
      <c r="P47" s="3">
        <f>HYPERLINK("https://search.asu.edu/profile/jdwilbu1", "https://search.asu.edu/profile/jdwilbu1")</f>
        <v/>
      </c>
      <c r="Q47" s="3">
        <f>HYPERLINK("https://scholar.google.com/citations?view_op=search_authors&amp;mauthors=Joshua%20Wilbur%20Arizona%20State%20University", "Google Scholar Search")</f>
        <v/>
      </c>
      <c r="R47" s="3">
        <f>HYPERLINK("https://faculty.engineering.asu.edu/directory/semte/aerospace-and-mechanical-engineering/", "https://faculty.engineering.asu.edu/directory/semte/aerospace-and-mechanical-engineering/")</f>
        <v/>
      </c>
    </row>
    <row r="48">
      <c r="A48" s="2" t="inlineStr">
        <is>
          <t>Ricardo Cruz Lozano</t>
        </is>
      </c>
      <c r="B48" s="2" t="inlineStr">
        <is>
          <t>Assistant Teaching Professor</t>
        </is>
      </c>
      <c r="C48" s="2" t="inlineStr">
        <is>
          <t>Aerospace &amp; Mechanical Engineering</t>
        </is>
      </c>
      <c r="D48" s="2" t="inlineStr">
        <is>
          <t>Arizona State University</t>
        </is>
      </c>
      <c r="E48" s="3">
        <f>HYPERLINK("mailto:Ricardo.Cruz.Lozano@asu.edu", "Ricardo.Cruz.Lozano@asu.edu")</f>
        <v/>
      </c>
      <c r="F48" s="2" t="n">
        <v>0</v>
      </c>
      <c r="G48" s="2" t="inlineStr"/>
      <c r="H48" s="2" t="inlineStr"/>
      <c r="I48" s="2" t="inlineStr"/>
      <c r="J48" s="2" t="inlineStr"/>
      <c r="K48" s="2" t="inlineStr"/>
      <c r="L48" s="2" t="inlineStr"/>
      <c r="M48" s="2" t="inlineStr"/>
      <c r="N48" s="2" t="b">
        <v>0</v>
      </c>
      <c r="O48" s="2" t="inlineStr"/>
      <c r="P48" s="3">
        <f>HYPERLINK("https://search.asu.edu/profile/rcruzloz", "https://search.asu.edu/profile/rcruzloz")</f>
        <v/>
      </c>
      <c r="Q48" s="3">
        <f>HYPERLINK("https://scholar.google.com/citations?view_op=search_authors&amp;mauthors=Ricardo%20Cruz%20Lozano%20Arizona%20State%20University", "Google Scholar Search")</f>
        <v/>
      </c>
      <c r="R48" s="3">
        <f>HYPERLINK("https://faculty.engineering.asu.edu/directory/semte/aerospace-and-mechanical-engineering/", "https://faculty.engineering.asu.edu/directory/semte/aerospace-and-mechanical-engineering/")</f>
        <v/>
      </c>
    </row>
    <row r="49">
      <c r="A49" s="2" t="inlineStr">
        <is>
          <t>Srinivas Chakravarthi Kosaraju</t>
        </is>
      </c>
      <c r="B49" s="2" t="inlineStr">
        <is>
          <t>Teaching Professor</t>
        </is>
      </c>
      <c r="C49" s="2" t="inlineStr">
        <is>
          <t>Aerospace &amp; Mechanical Engineering</t>
        </is>
      </c>
      <c r="D49" s="2" t="inlineStr">
        <is>
          <t>Arizona State University</t>
        </is>
      </c>
      <c r="E49" s="3">
        <f>HYPERLINK("mailto:Srinivas.Kosaraju@asu.edu", "Srinivas.Kosaraju@asu.edu")</f>
        <v/>
      </c>
      <c r="F49" s="2" t="n">
        <v>0</v>
      </c>
      <c r="G49" s="2" t="inlineStr"/>
      <c r="H49" s="2" t="inlineStr"/>
      <c r="I49" s="2" t="inlineStr"/>
      <c r="J49" s="2" t="inlineStr"/>
      <c r="K49" s="2" t="inlineStr"/>
      <c r="L49" s="2" t="inlineStr">
        <is>
          <t>Campus: Tempe</t>
        </is>
      </c>
      <c r="M49" s="2" t="inlineStr"/>
      <c r="N49" s="2" t="b">
        <v>0</v>
      </c>
      <c r="O49" s="2" t="inlineStr"/>
      <c r="P49" s="3">
        <f>HYPERLINK("https://search.asu.edu/profile/skosara2", "https://search.asu.edu/profile/skosara2")</f>
        <v/>
      </c>
      <c r="Q49" s="3">
        <f>HYPERLINK("https://scholar.google.com/citations?view_op=search_authors&amp;mauthors=Srinivas%20Chakravarthi%20Kosaraju%20Arizona%20State%20University", "Google Scholar Search")</f>
        <v/>
      </c>
      <c r="R49" s="3">
        <f>HYPERLINK("https://faculty.engineering.asu.edu/directory/semte/aerospace-and-mechanical-engineering/", "https://faculty.engineering.asu.edu/directory/semte/aerospace-and-mechanical-engineering/")</f>
        <v/>
      </c>
    </row>
  </sheetData>
  <hyperlinks>
    <hyperlink xmlns:r="http://schemas.openxmlformats.org/officeDocument/2006/relationships" ref="E2" r:id="rId1"/>
    <hyperlink xmlns:r="http://schemas.openxmlformats.org/officeDocument/2006/relationships" ref="M2" r:id="rId2"/>
    <hyperlink xmlns:r="http://schemas.openxmlformats.org/officeDocument/2006/relationships" ref="P2" r:id="rId3"/>
    <hyperlink xmlns:r="http://schemas.openxmlformats.org/officeDocument/2006/relationships" ref="Q2" r:id="rId4"/>
    <hyperlink xmlns:r="http://schemas.openxmlformats.org/officeDocument/2006/relationships" ref="R2" r:id="rId5"/>
    <hyperlink xmlns:r="http://schemas.openxmlformats.org/officeDocument/2006/relationships" ref="E3" r:id="rId6"/>
    <hyperlink xmlns:r="http://schemas.openxmlformats.org/officeDocument/2006/relationships" ref="M3" r:id="rId7"/>
    <hyperlink xmlns:r="http://schemas.openxmlformats.org/officeDocument/2006/relationships" ref="P3" r:id="rId8"/>
    <hyperlink xmlns:r="http://schemas.openxmlformats.org/officeDocument/2006/relationships" ref="Q3" r:id="rId9"/>
    <hyperlink xmlns:r="http://schemas.openxmlformats.org/officeDocument/2006/relationships" ref="R3" r:id="rId10"/>
    <hyperlink xmlns:r="http://schemas.openxmlformats.org/officeDocument/2006/relationships" ref="E4" r:id="rId11"/>
    <hyperlink xmlns:r="http://schemas.openxmlformats.org/officeDocument/2006/relationships" ref="M4" r:id="rId12"/>
    <hyperlink xmlns:r="http://schemas.openxmlformats.org/officeDocument/2006/relationships" ref="P4" r:id="rId13"/>
    <hyperlink xmlns:r="http://schemas.openxmlformats.org/officeDocument/2006/relationships" ref="Q4" r:id="rId14"/>
    <hyperlink xmlns:r="http://schemas.openxmlformats.org/officeDocument/2006/relationships" ref="R4" r:id="rId15"/>
    <hyperlink xmlns:r="http://schemas.openxmlformats.org/officeDocument/2006/relationships" ref="E5" r:id="rId16"/>
    <hyperlink xmlns:r="http://schemas.openxmlformats.org/officeDocument/2006/relationships" ref="M5" r:id="rId17"/>
    <hyperlink xmlns:r="http://schemas.openxmlformats.org/officeDocument/2006/relationships" ref="P5" r:id="rId18"/>
    <hyperlink xmlns:r="http://schemas.openxmlformats.org/officeDocument/2006/relationships" ref="Q5" r:id="rId19"/>
    <hyperlink xmlns:r="http://schemas.openxmlformats.org/officeDocument/2006/relationships" ref="R5" r:id="rId20"/>
    <hyperlink xmlns:r="http://schemas.openxmlformats.org/officeDocument/2006/relationships" ref="E6" r:id="rId21"/>
    <hyperlink xmlns:r="http://schemas.openxmlformats.org/officeDocument/2006/relationships" ref="P6" r:id="rId22"/>
    <hyperlink xmlns:r="http://schemas.openxmlformats.org/officeDocument/2006/relationships" ref="Q6" r:id="rId23"/>
    <hyperlink xmlns:r="http://schemas.openxmlformats.org/officeDocument/2006/relationships" ref="R6" r:id="rId24"/>
    <hyperlink xmlns:r="http://schemas.openxmlformats.org/officeDocument/2006/relationships" ref="E7" r:id="rId25"/>
    <hyperlink xmlns:r="http://schemas.openxmlformats.org/officeDocument/2006/relationships" ref="P7" r:id="rId26"/>
    <hyperlink xmlns:r="http://schemas.openxmlformats.org/officeDocument/2006/relationships" ref="Q7" r:id="rId27"/>
    <hyperlink xmlns:r="http://schemas.openxmlformats.org/officeDocument/2006/relationships" ref="R7" r:id="rId28"/>
    <hyperlink xmlns:r="http://schemas.openxmlformats.org/officeDocument/2006/relationships" ref="E8" r:id="rId29"/>
    <hyperlink xmlns:r="http://schemas.openxmlformats.org/officeDocument/2006/relationships" ref="M8" r:id="rId30"/>
    <hyperlink xmlns:r="http://schemas.openxmlformats.org/officeDocument/2006/relationships" ref="P8" r:id="rId31"/>
    <hyperlink xmlns:r="http://schemas.openxmlformats.org/officeDocument/2006/relationships" ref="Q8" r:id="rId32"/>
    <hyperlink xmlns:r="http://schemas.openxmlformats.org/officeDocument/2006/relationships" ref="R8" r:id="rId33"/>
    <hyperlink xmlns:r="http://schemas.openxmlformats.org/officeDocument/2006/relationships" ref="E9" r:id="rId34"/>
    <hyperlink xmlns:r="http://schemas.openxmlformats.org/officeDocument/2006/relationships" ref="M9" r:id="rId35"/>
    <hyperlink xmlns:r="http://schemas.openxmlformats.org/officeDocument/2006/relationships" ref="P9" r:id="rId36"/>
    <hyperlink xmlns:r="http://schemas.openxmlformats.org/officeDocument/2006/relationships" ref="Q9" r:id="rId37"/>
    <hyperlink xmlns:r="http://schemas.openxmlformats.org/officeDocument/2006/relationships" ref="R9" r:id="rId38"/>
    <hyperlink xmlns:r="http://schemas.openxmlformats.org/officeDocument/2006/relationships" ref="E10" r:id="rId39"/>
    <hyperlink xmlns:r="http://schemas.openxmlformats.org/officeDocument/2006/relationships" ref="M10" r:id="rId40"/>
    <hyperlink xmlns:r="http://schemas.openxmlformats.org/officeDocument/2006/relationships" ref="P10" r:id="rId41"/>
    <hyperlink xmlns:r="http://schemas.openxmlformats.org/officeDocument/2006/relationships" ref="Q10" r:id="rId42"/>
    <hyperlink xmlns:r="http://schemas.openxmlformats.org/officeDocument/2006/relationships" ref="R10" r:id="rId43"/>
    <hyperlink xmlns:r="http://schemas.openxmlformats.org/officeDocument/2006/relationships" ref="E11" r:id="rId44"/>
    <hyperlink xmlns:r="http://schemas.openxmlformats.org/officeDocument/2006/relationships" ref="P11" r:id="rId45"/>
    <hyperlink xmlns:r="http://schemas.openxmlformats.org/officeDocument/2006/relationships" ref="Q11" r:id="rId46"/>
    <hyperlink xmlns:r="http://schemas.openxmlformats.org/officeDocument/2006/relationships" ref="R11" r:id="rId47"/>
    <hyperlink xmlns:r="http://schemas.openxmlformats.org/officeDocument/2006/relationships" ref="E12" r:id="rId48"/>
    <hyperlink xmlns:r="http://schemas.openxmlformats.org/officeDocument/2006/relationships" ref="M12" r:id="rId49"/>
    <hyperlink xmlns:r="http://schemas.openxmlformats.org/officeDocument/2006/relationships" ref="P12" r:id="rId50"/>
    <hyperlink xmlns:r="http://schemas.openxmlformats.org/officeDocument/2006/relationships" ref="Q12" r:id="rId51"/>
    <hyperlink xmlns:r="http://schemas.openxmlformats.org/officeDocument/2006/relationships" ref="R12" r:id="rId52"/>
    <hyperlink xmlns:r="http://schemas.openxmlformats.org/officeDocument/2006/relationships" ref="E13" r:id="rId53"/>
    <hyperlink xmlns:r="http://schemas.openxmlformats.org/officeDocument/2006/relationships" ref="M13" r:id="rId54"/>
    <hyperlink xmlns:r="http://schemas.openxmlformats.org/officeDocument/2006/relationships" ref="P13" r:id="rId55"/>
    <hyperlink xmlns:r="http://schemas.openxmlformats.org/officeDocument/2006/relationships" ref="Q13" r:id="rId56"/>
    <hyperlink xmlns:r="http://schemas.openxmlformats.org/officeDocument/2006/relationships" ref="R13" r:id="rId57"/>
    <hyperlink xmlns:r="http://schemas.openxmlformats.org/officeDocument/2006/relationships" ref="E14" r:id="rId58"/>
    <hyperlink xmlns:r="http://schemas.openxmlformats.org/officeDocument/2006/relationships" ref="P14" r:id="rId59"/>
    <hyperlink xmlns:r="http://schemas.openxmlformats.org/officeDocument/2006/relationships" ref="Q14" r:id="rId60"/>
    <hyperlink xmlns:r="http://schemas.openxmlformats.org/officeDocument/2006/relationships" ref="R14" r:id="rId61"/>
    <hyperlink xmlns:r="http://schemas.openxmlformats.org/officeDocument/2006/relationships" ref="E15" r:id="rId62"/>
    <hyperlink xmlns:r="http://schemas.openxmlformats.org/officeDocument/2006/relationships" ref="M15" r:id="rId63"/>
    <hyperlink xmlns:r="http://schemas.openxmlformats.org/officeDocument/2006/relationships" ref="P15" r:id="rId64"/>
    <hyperlink xmlns:r="http://schemas.openxmlformats.org/officeDocument/2006/relationships" ref="Q15" r:id="rId65"/>
    <hyperlink xmlns:r="http://schemas.openxmlformats.org/officeDocument/2006/relationships" ref="R15" r:id="rId66"/>
    <hyperlink xmlns:r="http://schemas.openxmlformats.org/officeDocument/2006/relationships" ref="E16" r:id="rId67"/>
    <hyperlink xmlns:r="http://schemas.openxmlformats.org/officeDocument/2006/relationships" ref="M16" r:id="rId68"/>
    <hyperlink xmlns:r="http://schemas.openxmlformats.org/officeDocument/2006/relationships" ref="P16" r:id="rId69"/>
    <hyperlink xmlns:r="http://schemas.openxmlformats.org/officeDocument/2006/relationships" ref="Q16" r:id="rId70"/>
    <hyperlink xmlns:r="http://schemas.openxmlformats.org/officeDocument/2006/relationships" ref="R16" r:id="rId71"/>
    <hyperlink xmlns:r="http://schemas.openxmlformats.org/officeDocument/2006/relationships" ref="E17" r:id="rId72"/>
    <hyperlink xmlns:r="http://schemas.openxmlformats.org/officeDocument/2006/relationships" ref="M17" r:id="rId73"/>
    <hyperlink xmlns:r="http://schemas.openxmlformats.org/officeDocument/2006/relationships" ref="P17" r:id="rId74"/>
    <hyperlink xmlns:r="http://schemas.openxmlformats.org/officeDocument/2006/relationships" ref="Q17" r:id="rId75"/>
    <hyperlink xmlns:r="http://schemas.openxmlformats.org/officeDocument/2006/relationships" ref="R17" r:id="rId76"/>
    <hyperlink xmlns:r="http://schemas.openxmlformats.org/officeDocument/2006/relationships" ref="E18" r:id="rId77"/>
    <hyperlink xmlns:r="http://schemas.openxmlformats.org/officeDocument/2006/relationships" ref="P18" r:id="rId78"/>
    <hyperlink xmlns:r="http://schemas.openxmlformats.org/officeDocument/2006/relationships" ref="Q18" r:id="rId79"/>
    <hyperlink xmlns:r="http://schemas.openxmlformats.org/officeDocument/2006/relationships" ref="R18" r:id="rId80"/>
    <hyperlink xmlns:r="http://schemas.openxmlformats.org/officeDocument/2006/relationships" ref="E19" r:id="rId81"/>
    <hyperlink xmlns:r="http://schemas.openxmlformats.org/officeDocument/2006/relationships" ref="P19" r:id="rId82"/>
    <hyperlink xmlns:r="http://schemas.openxmlformats.org/officeDocument/2006/relationships" ref="Q19" r:id="rId83"/>
    <hyperlink xmlns:r="http://schemas.openxmlformats.org/officeDocument/2006/relationships" ref="R19" r:id="rId84"/>
    <hyperlink xmlns:r="http://schemas.openxmlformats.org/officeDocument/2006/relationships" ref="E20" r:id="rId85"/>
    <hyperlink xmlns:r="http://schemas.openxmlformats.org/officeDocument/2006/relationships" ref="P20" r:id="rId86"/>
    <hyperlink xmlns:r="http://schemas.openxmlformats.org/officeDocument/2006/relationships" ref="Q20" r:id="rId87"/>
    <hyperlink xmlns:r="http://schemas.openxmlformats.org/officeDocument/2006/relationships" ref="R20" r:id="rId88"/>
    <hyperlink xmlns:r="http://schemas.openxmlformats.org/officeDocument/2006/relationships" ref="E21" r:id="rId89"/>
    <hyperlink xmlns:r="http://schemas.openxmlformats.org/officeDocument/2006/relationships" ref="P21" r:id="rId90"/>
    <hyperlink xmlns:r="http://schemas.openxmlformats.org/officeDocument/2006/relationships" ref="Q21" r:id="rId91"/>
    <hyperlink xmlns:r="http://schemas.openxmlformats.org/officeDocument/2006/relationships" ref="R21" r:id="rId92"/>
    <hyperlink xmlns:r="http://schemas.openxmlformats.org/officeDocument/2006/relationships" ref="E22" r:id="rId93"/>
    <hyperlink xmlns:r="http://schemas.openxmlformats.org/officeDocument/2006/relationships" ref="M22" r:id="rId94"/>
    <hyperlink xmlns:r="http://schemas.openxmlformats.org/officeDocument/2006/relationships" ref="P22" r:id="rId95"/>
    <hyperlink xmlns:r="http://schemas.openxmlformats.org/officeDocument/2006/relationships" ref="Q22" r:id="rId96"/>
    <hyperlink xmlns:r="http://schemas.openxmlformats.org/officeDocument/2006/relationships" ref="R22" r:id="rId97"/>
    <hyperlink xmlns:r="http://schemas.openxmlformats.org/officeDocument/2006/relationships" ref="E23" r:id="rId98"/>
    <hyperlink xmlns:r="http://schemas.openxmlformats.org/officeDocument/2006/relationships" ref="M23" r:id="rId99"/>
    <hyperlink xmlns:r="http://schemas.openxmlformats.org/officeDocument/2006/relationships" ref="P23" r:id="rId100"/>
    <hyperlink xmlns:r="http://schemas.openxmlformats.org/officeDocument/2006/relationships" ref="Q23" r:id="rId101"/>
    <hyperlink xmlns:r="http://schemas.openxmlformats.org/officeDocument/2006/relationships" ref="R23" r:id="rId102"/>
    <hyperlink xmlns:r="http://schemas.openxmlformats.org/officeDocument/2006/relationships" ref="E24" r:id="rId103"/>
    <hyperlink xmlns:r="http://schemas.openxmlformats.org/officeDocument/2006/relationships" ref="M24" r:id="rId104"/>
    <hyperlink xmlns:r="http://schemas.openxmlformats.org/officeDocument/2006/relationships" ref="P24" r:id="rId105"/>
    <hyperlink xmlns:r="http://schemas.openxmlformats.org/officeDocument/2006/relationships" ref="Q24" r:id="rId106"/>
    <hyperlink xmlns:r="http://schemas.openxmlformats.org/officeDocument/2006/relationships" ref="R24" r:id="rId107"/>
    <hyperlink xmlns:r="http://schemas.openxmlformats.org/officeDocument/2006/relationships" ref="E25" r:id="rId108"/>
    <hyperlink xmlns:r="http://schemas.openxmlformats.org/officeDocument/2006/relationships" ref="M25" r:id="rId109"/>
    <hyperlink xmlns:r="http://schemas.openxmlformats.org/officeDocument/2006/relationships" ref="P25" r:id="rId110"/>
    <hyperlink xmlns:r="http://schemas.openxmlformats.org/officeDocument/2006/relationships" ref="Q25" r:id="rId111"/>
    <hyperlink xmlns:r="http://schemas.openxmlformats.org/officeDocument/2006/relationships" ref="R25" r:id="rId112"/>
    <hyperlink xmlns:r="http://schemas.openxmlformats.org/officeDocument/2006/relationships" ref="E26" r:id="rId113"/>
    <hyperlink xmlns:r="http://schemas.openxmlformats.org/officeDocument/2006/relationships" ref="P26" r:id="rId114"/>
    <hyperlink xmlns:r="http://schemas.openxmlformats.org/officeDocument/2006/relationships" ref="Q26" r:id="rId115"/>
    <hyperlink xmlns:r="http://schemas.openxmlformats.org/officeDocument/2006/relationships" ref="R26" r:id="rId116"/>
    <hyperlink xmlns:r="http://schemas.openxmlformats.org/officeDocument/2006/relationships" ref="E27" r:id="rId117"/>
    <hyperlink xmlns:r="http://schemas.openxmlformats.org/officeDocument/2006/relationships" ref="M27" r:id="rId118"/>
    <hyperlink xmlns:r="http://schemas.openxmlformats.org/officeDocument/2006/relationships" ref="P27" r:id="rId119"/>
    <hyperlink xmlns:r="http://schemas.openxmlformats.org/officeDocument/2006/relationships" ref="Q27" r:id="rId120"/>
    <hyperlink xmlns:r="http://schemas.openxmlformats.org/officeDocument/2006/relationships" ref="R27" r:id="rId121"/>
    <hyperlink xmlns:r="http://schemas.openxmlformats.org/officeDocument/2006/relationships" ref="E28" r:id="rId122"/>
    <hyperlink xmlns:r="http://schemas.openxmlformats.org/officeDocument/2006/relationships" ref="P28" r:id="rId123"/>
    <hyperlink xmlns:r="http://schemas.openxmlformats.org/officeDocument/2006/relationships" ref="Q28" r:id="rId124"/>
    <hyperlink xmlns:r="http://schemas.openxmlformats.org/officeDocument/2006/relationships" ref="R28" r:id="rId125"/>
    <hyperlink xmlns:r="http://schemas.openxmlformats.org/officeDocument/2006/relationships" ref="E29" r:id="rId126"/>
    <hyperlink xmlns:r="http://schemas.openxmlformats.org/officeDocument/2006/relationships" ref="M29" r:id="rId127"/>
    <hyperlink xmlns:r="http://schemas.openxmlformats.org/officeDocument/2006/relationships" ref="P29" r:id="rId128"/>
    <hyperlink xmlns:r="http://schemas.openxmlformats.org/officeDocument/2006/relationships" ref="Q29" r:id="rId129"/>
    <hyperlink xmlns:r="http://schemas.openxmlformats.org/officeDocument/2006/relationships" ref="R29" r:id="rId130"/>
    <hyperlink xmlns:r="http://schemas.openxmlformats.org/officeDocument/2006/relationships" ref="E30" r:id="rId131"/>
    <hyperlink xmlns:r="http://schemas.openxmlformats.org/officeDocument/2006/relationships" ref="M30" r:id="rId132"/>
    <hyperlink xmlns:r="http://schemas.openxmlformats.org/officeDocument/2006/relationships" ref="P30" r:id="rId133"/>
    <hyperlink xmlns:r="http://schemas.openxmlformats.org/officeDocument/2006/relationships" ref="Q30" r:id="rId134"/>
    <hyperlink xmlns:r="http://schemas.openxmlformats.org/officeDocument/2006/relationships" ref="R30" r:id="rId135"/>
    <hyperlink xmlns:r="http://schemas.openxmlformats.org/officeDocument/2006/relationships" ref="E31" r:id="rId136"/>
    <hyperlink xmlns:r="http://schemas.openxmlformats.org/officeDocument/2006/relationships" ref="M31" r:id="rId137"/>
    <hyperlink xmlns:r="http://schemas.openxmlformats.org/officeDocument/2006/relationships" ref="P31" r:id="rId138"/>
    <hyperlink xmlns:r="http://schemas.openxmlformats.org/officeDocument/2006/relationships" ref="Q31" r:id="rId139"/>
    <hyperlink xmlns:r="http://schemas.openxmlformats.org/officeDocument/2006/relationships" ref="R31" r:id="rId140"/>
    <hyperlink xmlns:r="http://schemas.openxmlformats.org/officeDocument/2006/relationships" ref="E32" r:id="rId141"/>
    <hyperlink xmlns:r="http://schemas.openxmlformats.org/officeDocument/2006/relationships" ref="P32" r:id="rId142"/>
    <hyperlink xmlns:r="http://schemas.openxmlformats.org/officeDocument/2006/relationships" ref="Q32" r:id="rId143"/>
    <hyperlink xmlns:r="http://schemas.openxmlformats.org/officeDocument/2006/relationships" ref="R32" r:id="rId144"/>
    <hyperlink xmlns:r="http://schemas.openxmlformats.org/officeDocument/2006/relationships" ref="E33" r:id="rId145"/>
    <hyperlink xmlns:r="http://schemas.openxmlformats.org/officeDocument/2006/relationships" ref="M33" r:id="rId146"/>
    <hyperlink xmlns:r="http://schemas.openxmlformats.org/officeDocument/2006/relationships" ref="P33" r:id="rId147"/>
    <hyperlink xmlns:r="http://schemas.openxmlformats.org/officeDocument/2006/relationships" ref="Q33" r:id="rId148"/>
    <hyperlink xmlns:r="http://schemas.openxmlformats.org/officeDocument/2006/relationships" ref="R33" r:id="rId149"/>
    <hyperlink xmlns:r="http://schemas.openxmlformats.org/officeDocument/2006/relationships" ref="E34" r:id="rId150"/>
    <hyperlink xmlns:r="http://schemas.openxmlformats.org/officeDocument/2006/relationships" ref="M34" r:id="rId151"/>
    <hyperlink xmlns:r="http://schemas.openxmlformats.org/officeDocument/2006/relationships" ref="P34" r:id="rId152"/>
    <hyperlink xmlns:r="http://schemas.openxmlformats.org/officeDocument/2006/relationships" ref="Q34" r:id="rId153"/>
    <hyperlink xmlns:r="http://schemas.openxmlformats.org/officeDocument/2006/relationships" ref="R34" r:id="rId154"/>
    <hyperlink xmlns:r="http://schemas.openxmlformats.org/officeDocument/2006/relationships" ref="E35" r:id="rId155"/>
    <hyperlink xmlns:r="http://schemas.openxmlformats.org/officeDocument/2006/relationships" ref="M35" r:id="rId156"/>
    <hyperlink xmlns:r="http://schemas.openxmlformats.org/officeDocument/2006/relationships" ref="P35" r:id="rId157"/>
    <hyperlink xmlns:r="http://schemas.openxmlformats.org/officeDocument/2006/relationships" ref="Q35" r:id="rId158"/>
    <hyperlink xmlns:r="http://schemas.openxmlformats.org/officeDocument/2006/relationships" ref="R35" r:id="rId159"/>
    <hyperlink xmlns:r="http://schemas.openxmlformats.org/officeDocument/2006/relationships" ref="E36" r:id="rId160"/>
    <hyperlink xmlns:r="http://schemas.openxmlformats.org/officeDocument/2006/relationships" ref="P36" r:id="rId161"/>
    <hyperlink xmlns:r="http://schemas.openxmlformats.org/officeDocument/2006/relationships" ref="Q36" r:id="rId162"/>
    <hyperlink xmlns:r="http://schemas.openxmlformats.org/officeDocument/2006/relationships" ref="R36" r:id="rId163"/>
    <hyperlink xmlns:r="http://schemas.openxmlformats.org/officeDocument/2006/relationships" ref="E37" r:id="rId164"/>
    <hyperlink xmlns:r="http://schemas.openxmlformats.org/officeDocument/2006/relationships" ref="M37" r:id="rId165"/>
    <hyperlink xmlns:r="http://schemas.openxmlformats.org/officeDocument/2006/relationships" ref="P37" r:id="rId166"/>
    <hyperlink xmlns:r="http://schemas.openxmlformats.org/officeDocument/2006/relationships" ref="Q37" r:id="rId167"/>
    <hyperlink xmlns:r="http://schemas.openxmlformats.org/officeDocument/2006/relationships" ref="R37" r:id="rId168"/>
    <hyperlink xmlns:r="http://schemas.openxmlformats.org/officeDocument/2006/relationships" ref="E38" r:id="rId169"/>
    <hyperlink xmlns:r="http://schemas.openxmlformats.org/officeDocument/2006/relationships" ref="P38" r:id="rId170"/>
    <hyperlink xmlns:r="http://schemas.openxmlformats.org/officeDocument/2006/relationships" ref="Q38" r:id="rId171"/>
    <hyperlink xmlns:r="http://schemas.openxmlformats.org/officeDocument/2006/relationships" ref="R38" r:id="rId172"/>
    <hyperlink xmlns:r="http://schemas.openxmlformats.org/officeDocument/2006/relationships" ref="E39" r:id="rId173"/>
    <hyperlink xmlns:r="http://schemas.openxmlformats.org/officeDocument/2006/relationships" ref="P39" r:id="rId174"/>
    <hyperlink xmlns:r="http://schemas.openxmlformats.org/officeDocument/2006/relationships" ref="Q39" r:id="rId175"/>
    <hyperlink xmlns:r="http://schemas.openxmlformats.org/officeDocument/2006/relationships" ref="R39" r:id="rId176"/>
    <hyperlink xmlns:r="http://schemas.openxmlformats.org/officeDocument/2006/relationships" ref="E40" r:id="rId177"/>
    <hyperlink xmlns:r="http://schemas.openxmlformats.org/officeDocument/2006/relationships" ref="P40" r:id="rId178"/>
    <hyperlink xmlns:r="http://schemas.openxmlformats.org/officeDocument/2006/relationships" ref="Q40" r:id="rId179"/>
    <hyperlink xmlns:r="http://schemas.openxmlformats.org/officeDocument/2006/relationships" ref="R40" r:id="rId180"/>
    <hyperlink xmlns:r="http://schemas.openxmlformats.org/officeDocument/2006/relationships" ref="E41" r:id="rId181"/>
    <hyperlink xmlns:r="http://schemas.openxmlformats.org/officeDocument/2006/relationships" ref="M41" r:id="rId182"/>
    <hyperlink xmlns:r="http://schemas.openxmlformats.org/officeDocument/2006/relationships" ref="P41" r:id="rId183"/>
    <hyperlink xmlns:r="http://schemas.openxmlformats.org/officeDocument/2006/relationships" ref="Q41" r:id="rId184"/>
    <hyperlink xmlns:r="http://schemas.openxmlformats.org/officeDocument/2006/relationships" ref="R41" r:id="rId185"/>
    <hyperlink xmlns:r="http://schemas.openxmlformats.org/officeDocument/2006/relationships" ref="E42" r:id="rId186"/>
    <hyperlink xmlns:r="http://schemas.openxmlformats.org/officeDocument/2006/relationships" ref="M42" r:id="rId187"/>
    <hyperlink xmlns:r="http://schemas.openxmlformats.org/officeDocument/2006/relationships" ref="P42" r:id="rId188"/>
    <hyperlink xmlns:r="http://schemas.openxmlformats.org/officeDocument/2006/relationships" ref="Q42" r:id="rId189"/>
    <hyperlink xmlns:r="http://schemas.openxmlformats.org/officeDocument/2006/relationships" ref="R42" r:id="rId190"/>
    <hyperlink xmlns:r="http://schemas.openxmlformats.org/officeDocument/2006/relationships" ref="E43" r:id="rId191"/>
    <hyperlink xmlns:r="http://schemas.openxmlformats.org/officeDocument/2006/relationships" ref="P43" r:id="rId192"/>
    <hyperlink xmlns:r="http://schemas.openxmlformats.org/officeDocument/2006/relationships" ref="Q43" r:id="rId193"/>
    <hyperlink xmlns:r="http://schemas.openxmlformats.org/officeDocument/2006/relationships" ref="R43" r:id="rId194"/>
    <hyperlink xmlns:r="http://schemas.openxmlformats.org/officeDocument/2006/relationships" ref="E44" r:id="rId195"/>
    <hyperlink xmlns:r="http://schemas.openxmlformats.org/officeDocument/2006/relationships" ref="P44" r:id="rId196"/>
    <hyperlink xmlns:r="http://schemas.openxmlformats.org/officeDocument/2006/relationships" ref="Q44" r:id="rId197"/>
    <hyperlink xmlns:r="http://schemas.openxmlformats.org/officeDocument/2006/relationships" ref="R44" r:id="rId198"/>
    <hyperlink xmlns:r="http://schemas.openxmlformats.org/officeDocument/2006/relationships" ref="E45" r:id="rId199"/>
    <hyperlink xmlns:r="http://schemas.openxmlformats.org/officeDocument/2006/relationships" ref="P45" r:id="rId200"/>
    <hyperlink xmlns:r="http://schemas.openxmlformats.org/officeDocument/2006/relationships" ref="Q45" r:id="rId201"/>
    <hyperlink xmlns:r="http://schemas.openxmlformats.org/officeDocument/2006/relationships" ref="R45" r:id="rId202"/>
    <hyperlink xmlns:r="http://schemas.openxmlformats.org/officeDocument/2006/relationships" ref="E46" r:id="rId203"/>
    <hyperlink xmlns:r="http://schemas.openxmlformats.org/officeDocument/2006/relationships" ref="P46" r:id="rId204"/>
    <hyperlink xmlns:r="http://schemas.openxmlformats.org/officeDocument/2006/relationships" ref="Q46" r:id="rId205"/>
    <hyperlink xmlns:r="http://schemas.openxmlformats.org/officeDocument/2006/relationships" ref="R46" r:id="rId206"/>
    <hyperlink xmlns:r="http://schemas.openxmlformats.org/officeDocument/2006/relationships" ref="E47" r:id="rId207"/>
    <hyperlink xmlns:r="http://schemas.openxmlformats.org/officeDocument/2006/relationships" ref="P47" r:id="rId208"/>
    <hyperlink xmlns:r="http://schemas.openxmlformats.org/officeDocument/2006/relationships" ref="Q47" r:id="rId209"/>
    <hyperlink xmlns:r="http://schemas.openxmlformats.org/officeDocument/2006/relationships" ref="R47" r:id="rId210"/>
    <hyperlink xmlns:r="http://schemas.openxmlformats.org/officeDocument/2006/relationships" ref="E48" r:id="rId211"/>
    <hyperlink xmlns:r="http://schemas.openxmlformats.org/officeDocument/2006/relationships" ref="P48" r:id="rId212"/>
    <hyperlink xmlns:r="http://schemas.openxmlformats.org/officeDocument/2006/relationships" ref="Q48" r:id="rId213"/>
    <hyperlink xmlns:r="http://schemas.openxmlformats.org/officeDocument/2006/relationships" ref="R48" r:id="rId214"/>
    <hyperlink xmlns:r="http://schemas.openxmlformats.org/officeDocument/2006/relationships" ref="E49" r:id="rId215"/>
    <hyperlink xmlns:r="http://schemas.openxmlformats.org/officeDocument/2006/relationships" ref="P49" r:id="rId216"/>
    <hyperlink xmlns:r="http://schemas.openxmlformats.org/officeDocument/2006/relationships" ref="Q49" r:id="rId217"/>
    <hyperlink xmlns:r="http://schemas.openxmlformats.org/officeDocument/2006/relationships" ref="R49" r:id="rId2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2026-09-18T11:58:51Z</dcterms:created>
  <dcterms:modified xmlns:dcterms="http://purl.org/dc/terms/" xmlns:xsi="http://www.w3.org/2001/XMLSchema-instance" xsi:type="dcterms:W3CDTF">2026-09-18T11:58:51Z</dcterms:modified>
</cp:coreProperties>
</file>